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Reglas" sheetId="2" state="visible" r:id="rId2"/>
    <sheet name="Compra" sheetId="3" state="visible" r:id="rId3"/>
    <sheet name="Consignación" sheetId="4" state="visible" r:id="rId4"/>
    <sheet name="Registro" sheetId="5" state="visible" r:id="rId5"/>
    <sheet name="Mapa de precios" sheetId="6" state="visible" r:id="rId6"/>
  </sheets>
  <definedNames/>
  <calcPr calcId="124519" fullCalcOnLoad="1"/>
</workbook>
</file>

<file path=xl/styles.xml><?xml version="1.0" encoding="utf-8"?>
<styleSheet xmlns="http://schemas.openxmlformats.org/spreadsheetml/2006/main">
  <numFmts count="4">
    <numFmt numFmtId="164" formatCode="$#,##0;($#,##0);-"/>
    <numFmt numFmtId="165" formatCode="0.0%;(0.0%);-"/>
    <numFmt numFmtId="166" formatCode="$#,##0.00"/>
    <numFmt numFmtId="167" formatCode="dd/mm/yyyy"/>
  </numFmts>
  <fonts count="8">
    <font>
      <name val="Calibri"/>
      <family val="2"/>
      <color theme="1"/>
      <sz val="11"/>
      <scheme val="minor"/>
    </font>
    <font>
      <name val="Arial"/>
      <b val="1"/>
      <sz val="14"/>
    </font>
    <font>
      <name val="Arial"/>
    </font>
    <font>
      <name val="Arial"/>
      <b val="1"/>
    </font>
    <font>
      <name val="Arial"/>
      <b val="1"/>
      <color rgb="00FFFFFF"/>
    </font>
    <font>
      <name val="Arial"/>
      <color rgb="000000FF"/>
    </font>
    <font>
      <name val="Arial"/>
      <i val="1"/>
      <color rgb="006B7280"/>
    </font>
    <font>
      <name val="Arial"/>
      <i val="1"/>
    </font>
  </fonts>
  <fills count="4">
    <fill>
      <patternFill/>
    </fill>
    <fill>
      <patternFill patternType="gray125"/>
    </fill>
    <fill>
      <patternFill patternType="solid">
        <fgColor rgb="001F2937"/>
      </patternFill>
    </fill>
    <fill>
      <patternFill patternType="solid">
        <fgColor rgb="00FFFF00"/>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164" fontId="5" fillId="3" borderId="1" pivotButton="0" quotePrefix="0" xfId="0"/>
    <xf numFmtId="0" fontId="6" fillId="0" borderId="0" pivotButton="0" quotePrefix="0" xfId="0"/>
    <xf numFmtId="165" fontId="5" fillId="3" borderId="1" pivotButton="0" quotePrefix="0" xfId="0"/>
    <xf numFmtId="1" fontId="5" fillId="3" borderId="1" pivotButton="0" quotePrefix="0" xfId="0"/>
    <xf numFmtId="164" fontId="3" fillId="0" borderId="0" pivotButton="0" quotePrefix="0" xfId="0"/>
    <xf numFmtId="0" fontId="0" fillId="2" borderId="0" pivotButton="0" quotePrefix="0" xfId="0"/>
    <xf numFmtId="0" fontId="5" fillId="3" borderId="1" applyAlignment="1" pivotButton="0" quotePrefix="0" xfId="0">
      <alignment horizontal="left"/>
    </xf>
    <xf numFmtId="164" fontId="2" fillId="0" borderId="1" pivotButton="0" quotePrefix="0" xfId="0"/>
    <xf numFmtId="165" fontId="2" fillId="0" borderId="1" pivotButton="0" quotePrefix="0" xfId="0"/>
    <xf numFmtId="166" fontId="2" fillId="0" borderId="1" pivotButton="0" quotePrefix="0" xfId="0"/>
    <xf numFmtId="0" fontId="2" fillId="0" borderId="1" pivotButton="0" quotePrefix="0" xfId="0"/>
    <xf numFmtId="0" fontId="3" fillId="0" borderId="1" pivotButton="0" quotePrefix="0" xfId="0"/>
    <xf numFmtId="0" fontId="7" fillId="0" borderId="0" pivotButton="0" quotePrefix="0" xfId="0"/>
    <xf numFmtId="164" fontId="3" fillId="0" borderId="1" pivotButton="0" quotePrefix="0" xfId="0"/>
    <xf numFmtId="166" fontId="3" fillId="0" borderId="1" pivotButton="0" quotePrefix="0" xfId="0"/>
    <xf numFmtId="0" fontId="4" fillId="2" borderId="0" applyAlignment="1" pivotButton="0" quotePrefix="0" xfId="0">
      <alignment horizontal="center" wrapText="1"/>
    </xf>
    <xf numFmtId="0" fontId="5" fillId="3" borderId="1" pivotButton="0" quotePrefix="0" xfId="0"/>
    <xf numFmtId="167" fontId="5" fillId="3" borderId="1" pivotButton="0" quotePrefix="0" xfId="0"/>
    <xf numFmtId="1" fontId="3" fillId="0" borderId="1" pivotButton="0" quotePrefix="0" xfId="0"/>
    <xf numFmtId="165" fontId="3" fillId="0" borderId="1" pivotButton="0" quotePrefix="0" xfId="0"/>
    <xf numFmtId="0" fontId="4" fillId="2" borderId="0" applyAlignment="1" pivotButton="0" quotePrefix="0" xfId="0">
      <alignment wrapText="1"/>
    </xf>
    <xf numFmtId="3" fontId="5" fillId="3" borderId="1" pivotButton="0" quotePrefix="0" xfId="0"/>
    <xf numFmtId="165" fontId="5" fillId="3" borderId="0" pivotButton="0" quotePrefix="0" xfId="0"/>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Josefine Auto</author>
  </authors>
  <commentList>
    <comment ref="B23" authorId="0" shapeId="0">
      <text>
        <t>Lo máximo que puedes ofertar para que el coche cumpla tu ganancia mínima y tu margen mínimo, incluido el colchón.</t>
      </text>
    </comment>
  </commentList>
</comments>
</file>

<file path=xl/comments/comment2.xml><?xml version="1.0" encoding="utf-8"?>
<comments xmlns="http://schemas.openxmlformats.org/spreadsheetml/2006/main">
  <authors>
    <author>Josefine Auto</author>
  </authors>
  <commentList>
    <comment ref="G3" authorId="0" shapeId="0">
      <text>
        <t>En consignación: escribe aquí tu COMISIÓN cobrada, y en 'Precio compra' el precio de venta del coche.</t>
      </text>
    </comment>
  </commentList>
</comments>
</file>

<file path=xl/comments/comment3.xml><?xml version="1.0" encoding="utf-8"?>
<comments xmlns="http://schemas.openxmlformats.org/spreadsheetml/2006/main">
  <authors>
    <author>Josefine Auto</author>
  </authors>
  <commentList>
    <comment ref="K17" authorId="0" shapeId="0">
      <text>
        <t>Supuesto orientativo: los carros suelen venderse algo por debajo del precio anunciado. Ajústalo con tu experiencia.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Josefine Auto — Calculadora de rentabilidad</t>
        </is>
      </c>
    </row>
    <row r="2">
      <c r="A2" s="2" t="inlineStr"/>
    </row>
    <row r="3">
      <c r="A3" s="3" t="inlineStr">
        <is>
          <t>Cómo usarla</t>
        </is>
      </c>
    </row>
    <row r="4">
      <c r="A4" s="2" t="inlineStr">
        <is>
          <t>1. Celdas con fondo AMARILLO y texto AZUL = datos que tú escribes. Todo lo demás se calcula solo.</t>
        </is>
      </c>
    </row>
    <row r="5">
      <c r="A5" s="2" t="inlineStr">
        <is>
          <t>2. 'Reglas': tus criterios mínimos de compra. Ajústalos una vez y valen para todos los coches.</t>
        </is>
      </c>
    </row>
    <row r="6">
      <c r="A6" s="2" t="inlineStr">
        <is>
          <t>3. 'Compra': antes de ofertar por un coche, rellena sus números. Te dice si COMPRAR o NO y el precio máximo que puedes pagar.</t>
        </is>
      </c>
    </row>
    <row r="7">
      <c r="A7" s="2" t="inlineStr">
        <is>
          <t>4. 'Consignación': calcula lo que ganas vendiendo un coche ajeno a comisión.</t>
        </is>
      </c>
    </row>
    <row r="8">
      <c r="A8" s="2" t="inlineStr">
        <is>
          <t>5. 'Mapa de precios': anota anuncios comparables. Te da el precio realista de venta de cada modelo.</t>
        </is>
      </c>
    </row>
    <row r="9">
      <c r="A9" s="2" t="inlineStr">
        <is>
          <t>6. 'Registro': anota cada operación cerrada. Te da tu margen medio, días de venta y capital acumulado.</t>
        </is>
      </c>
    </row>
    <row r="10">
      <c r="A10" s="2" t="inlineStr"/>
    </row>
    <row r="11">
      <c r="A11" s="3" t="inlineStr">
        <is>
          <t>Los valores que vienen escritos son EJEMPLOS orientativos. Sustitúyelos por cifras reales.</t>
        </is>
      </c>
    </row>
    <row r="12">
      <c r="A12" s="2" t="inlineStr">
        <is>
          <t>Costes de traspaso, revisado y tasas en Panamá: verifica importes vigentes con la ATTT / municipio.</t>
        </is>
      </c>
    </row>
    <row r="13">
      <c r="A13" s="2" t="inlineStr">
        <is>
          <t>Moneda: dólares (USD).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8" customWidth="1" min="1" max="1"/>
    <col width="14" customWidth="1" min="2" max="2"/>
    <col width="50" customWidth="1" min="3" max="3"/>
  </cols>
  <sheetData>
    <row r="1">
      <c r="A1" s="1" t="inlineStr">
        <is>
          <t>Reglas de compra (tus criterios mínimos)</t>
        </is>
      </c>
    </row>
    <row r="3">
      <c r="A3" s="4" t="inlineStr">
        <is>
          <t>Regla</t>
        </is>
      </c>
      <c r="B3" s="4" t="inlineStr">
        <is>
          <t>Valor</t>
        </is>
      </c>
      <c r="C3" s="4" t="inlineStr">
        <is>
          <t>Nota</t>
        </is>
      </c>
    </row>
    <row r="4">
      <c r="A4" s="2" t="inlineStr">
        <is>
          <t>Ganancia neta mínima por coche</t>
        </is>
      </c>
      <c r="B4" s="5" t="n">
        <v>600</v>
      </c>
      <c r="C4" s="6" t="inlineStr">
        <is>
          <t>Ejemplo basado en tu margen histórico ($500–1.500).</t>
        </is>
      </c>
    </row>
    <row r="5">
      <c r="A5" s="2" t="inlineStr">
        <is>
          <t>Margen mínimo sobre precio de venta</t>
        </is>
      </c>
      <c r="B5" s="7" t="n">
        <v>0.12</v>
      </c>
      <c r="C5" s="6" t="inlineStr">
        <is>
          <t>Ejemplo: 12%.</t>
        </is>
      </c>
    </row>
    <row r="6">
      <c r="A6" s="2" t="inlineStr">
        <is>
          <t>Días máximos esperados para vender</t>
        </is>
      </c>
      <c r="B6" s="8" t="n">
        <v>45</v>
      </c>
      <c r="C6" s="6" t="inlineStr">
        <is>
          <t>Objetivo: rotar en menos de 45 días.</t>
        </is>
      </c>
    </row>
    <row r="7">
      <c r="A7" s="2" t="inlineStr">
        <is>
          <t>Colchón para imprevistos (% del precio de compra)</t>
        </is>
      </c>
      <c r="B7" s="7" t="n">
        <v>0.08</v>
      </c>
      <c r="C7" s="6" t="inlineStr">
        <is>
          <t>Reserva para averías no detectadas.</t>
        </is>
      </c>
    </row>
    <row r="8">
      <c r="A8" s="2" t="inlineStr">
        <is>
          <t>Capital disponible total</t>
        </is>
      </c>
      <c r="B8" s="5" t="n">
        <v>5000</v>
      </c>
      <c r="C8" s="6" t="inlineStr">
        <is>
          <t>Dato del usuario: menos de $5.000.</t>
        </is>
      </c>
    </row>
    <row r="9">
      <c r="A9" s="2" t="inlineStr">
        <is>
          <t>Reserva de capital que nunca se invierte</t>
        </is>
      </c>
      <c r="B9" s="5" t="n">
        <v>500</v>
      </c>
      <c r="C9" s="6" t="inlineStr">
        <is>
          <t>Para no quedarte sin liquidez.</t>
        </is>
      </c>
    </row>
    <row r="11">
      <c r="A11" s="3" t="inlineStr">
        <is>
          <t>Precio máximo de compra según capital</t>
        </is>
      </c>
      <c r="B11" s="9">
        <f>B8-B9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8" customWidth="1" min="1" max="1"/>
    <col width="30" customWidth="1" min="2" max="2"/>
  </cols>
  <sheetData>
    <row r="1">
      <c r="A1" s="1" t="inlineStr">
        <is>
          <t>Análisis de compra — un coche</t>
        </is>
      </c>
    </row>
    <row r="3">
      <c r="A3" s="4" t="inlineStr">
        <is>
          <t>Datos del coche</t>
        </is>
      </c>
      <c r="B3" s="10" t="n"/>
    </row>
    <row r="4">
      <c r="A4" s="2" t="inlineStr">
        <is>
          <t>Coche (marca, modelo, año, km)</t>
        </is>
      </c>
      <c r="B4" s="11" t="inlineStr">
        <is>
          <t>EJEMPLO: Mazda3 2010 · 150.000 km</t>
        </is>
      </c>
    </row>
    <row r="5">
      <c r="A5" s="2" t="inlineStr">
        <is>
          <t>Precio de compra (oferta)</t>
        </is>
      </c>
      <c r="B5" s="5" t="n">
        <v>3200</v>
      </c>
    </row>
    <row r="6">
      <c r="A6" s="2" t="inlineStr">
        <is>
          <t>Precio de venta esperado (realista)</t>
        </is>
      </c>
      <c r="B6" s="5" t="n">
        <v>4900</v>
      </c>
    </row>
    <row r="7">
      <c r="A7" s="2" t="inlineStr">
        <is>
          <t>Inspección en taller</t>
        </is>
      </c>
      <c r="B7" s="5" t="n">
        <v>60</v>
      </c>
    </row>
    <row r="8">
      <c r="A8" s="2" t="inlineStr">
        <is>
          <t>Reparaciones / mantenimiento</t>
        </is>
      </c>
      <c r="B8" s="5" t="n">
        <v>300</v>
      </c>
    </row>
    <row r="9">
      <c r="A9" s="2" t="inlineStr">
        <is>
          <t>Detallado / estética</t>
        </is>
      </c>
      <c r="B9" s="5" t="n">
        <v>100</v>
      </c>
    </row>
    <row r="10">
      <c r="A10" s="2" t="inlineStr">
        <is>
          <t>Traspaso, revisado y papeles</t>
        </is>
      </c>
      <c r="B10" s="5" t="n">
        <v>150</v>
      </c>
    </row>
    <row r="11">
      <c r="A11" s="2" t="inlineStr">
        <is>
          <t>Publicidad (anuncios pagados)</t>
        </is>
      </c>
      <c r="B11" s="5" t="n">
        <v>30</v>
      </c>
    </row>
    <row r="12">
      <c r="A12" s="2" t="inlineStr">
        <is>
          <t>Otros gastos</t>
        </is>
      </c>
      <c r="B12" s="5" t="n">
        <v>0</v>
      </c>
    </row>
    <row r="13">
      <c r="A13" s="2" t="inlineStr">
        <is>
          <t>Días estimados hasta vender</t>
        </is>
      </c>
      <c r="B13" s="8" t="n">
        <v>30</v>
      </c>
    </row>
    <row r="15">
      <c r="A15" s="4" t="inlineStr">
        <is>
          <t>Resultados</t>
        </is>
      </c>
      <c r="B15" s="10" t="n"/>
    </row>
    <row r="16">
      <c r="A16" s="2" t="inlineStr">
        <is>
          <t>Colchón para imprevistos</t>
        </is>
      </c>
      <c r="B16" s="12">
        <f>B5*Reglas!$B$7</f>
        <v/>
      </c>
    </row>
    <row r="17">
      <c r="A17" s="2" t="inlineStr">
        <is>
          <t>Coste total (compra + gastos + colchón)</t>
        </is>
      </c>
      <c r="B17" s="12">
        <f>SUM(B5,B7:B12)+B16</f>
        <v/>
      </c>
    </row>
    <row r="18">
      <c r="A18" s="2" t="inlineStr">
        <is>
          <t>Ganancia neta estimada</t>
        </is>
      </c>
      <c r="B18" s="12">
        <f>B6-B17</f>
        <v/>
      </c>
    </row>
    <row r="19">
      <c r="A19" s="2" t="inlineStr">
        <is>
          <t>Margen sobre venta</t>
        </is>
      </c>
      <c r="B19" s="13">
        <f>IF(B6=0,0,B18/B6)</f>
        <v/>
      </c>
    </row>
    <row r="20">
      <c r="A20" s="2" t="inlineStr">
        <is>
          <t>Retorno sobre lo invertido</t>
        </is>
      </c>
      <c r="B20" s="13">
        <f>IF(B17=0,0,B18/B17)</f>
        <v/>
      </c>
    </row>
    <row r="21">
      <c r="A21" s="2" t="inlineStr">
        <is>
          <t>Retorno anualizado (aprox.)</t>
        </is>
      </c>
      <c r="B21" s="13">
        <f>IF(B13=0,0,B20*365/B13)</f>
        <v/>
      </c>
    </row>
    <row r="22">
      <c r="A22" s="2" t="inlineStr">
        <is>
          <t>Ganancia por día de stock</t>
        </is>
      </c>
      <c r="B22" s="14">
        <f>IF(B13=0,0,B18/B13)</f>
        <v/>
      </c>
    </row>
    <row r="23">
      <c r="A23" s="2" t="inlineStr">
        <is>
          <t>Precio MÁXIMO de compra para cumplir reglas</t>
        </is>
      </c>
      <c r="B23" s="12">
        <f>MIN(B6-SUM(B7:B12)-Reglas!$B$4, B6*(1-Reglas!$B$5)-SUM(B7:B12))/(1+Reglas!$B$7)</f>
        <v/>
      </c>
    </row>
    <row r="24">
      <c r="A24" s="2" t="inlineStr">
        <is>
          <t>¿Cabe en tu capital?</t>
        </is>
      </c>
      <c r="B24" s="15">
        <f>IF(B17&lt;=Reglas!$B$11,"SÍ","NO — excede capital")</f>
        <v/>
      </c>
    </row>
    <row r="25">
      <c r="A25" s="3" t="inlineStr">
        <is>
          <t>DECISIÓN</t>
        </is>
      </c>
      <c r="B25" s="16">
        <f>IF(AND(B18&gt;=Reglas!$B$4,B19&gt;=Reglas!$B$5,B13&lt;=Reglas!$B$6,B17&lt;=Reglas!$B$11),"COMPRAR","NO COMPRAR")</f>
        <v/>
      </c>
    </row>
    <row r="27">
      <c r="A27" s="17" t="inlineStr">
        <is>
          <t>Regla de oro: si el vendedor no acepta un precio igual o menor al 'Precio MÁXIMO de compra', se pasa al siguiente coche.</t>
        </is>
      </c>
    </row>
  </sheetData>
  <conditionalFormatting sqref="B25">
    <cfRule type="expression" priority="1" dxfId="0">
      <formula>$B$25="COMPRAR"</formula>
    </cfRule>
    <cfRule type="expression" priority="2" dxfId="1">
      <formula>$B$25="NO COMPRAR"</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4" customWidth="1" min="1" max="1"/>
    <col width="30" customWidth="1" min="2" max="2"/>
  </cols>
  <sheetData>
    <row r="1">
      <c r="A1" s="1" t="inlineStr">
        <is>
          <t>Venta a comisión (consignación)</t>
        </is>
      </c>
    </row>
    <row r="3">
      <c r="A3" s="2" t="inlineStr">
        <is>
          <t>Coche</t>
        </is>
      </c>
      <c r="B3" s="11" t="inlineStr">
        <is>
          <t>EJEMPLO: Nissan 350Z 2008 modificado</t>
        </is>
      </c>
    </row>
    <row r="4">
      <c r="A4" s="2" t="inlineStr">
        <is>
          <t>Precio de venta acordado con el dueño</t>
        </is>
      </c>
      <c r="B4" s="5" t="n">
        <v>14000</v>
      </c>
    </row>
    <row r="5">
      <c r="A5" s="2" t="inlineStr">
        <is>
          <t>Comisión (%)</t>
        </is>
      </c>
      <c r="B5" s="7" t="n">
        <v>0.05</v>
      </c>
    </row>
    <row r="6">
      <c r="A6" s="2" t="inlineStr">
        <is>
          <t>Comisión mínima fija</t>
        </is>
      </c>
      <c r="B6" s="5" t="n">
        <v>500</v>
      </c>
    </row>
    <row r="7">
      <c r="A7" s="2" t="inlineStr">
        <is>
          <t>Gastos tuyos (fotos, detallado, anuncios)</t>
        </is>
      </c>
      <c r="B7" s="5" t="n">
        <v>150</v>
      </c>
    </row>
    <row r="8">
      <c r="A8" s="2" t="inlineStr">
        <is>
          <t>Días estimados hasta vender</t>
        </is>
      </c>
      <c r="B8" s="8" t="n">
        <v>45</v>
      </c>
    </row>
    <row r="10">
      <c r="A10" s="3" t="inlineStr">
        <is>
          <t>Comisión cobrada</t>
        </is>
      </c>
      <c r="B10" s="18">
        <f>MAX(B4*B5,B6)</f>
        <v/>
      </c>
    </row>
    <row r="11">
      <c r="A11" s="3" t="inlineStr">
        <is>
          <t>Ganancia neta</t>
        </is>
      </c>
      <c r="B11" s="18">
        <f>B10-B7</f>
        <v/>
      </c>
    </row>
    <row r="12">
      <c r="A12" s="3" t="inlineStr">
        <is>
          <t>Ganancia por día</t>
        </is>
      </c>
      <c r="B12" s="19">
        <f>IF(B8=0,0,B11/B8)</f>
        <v/>
      </c>
    </row>
    <row r="13">
      <c r="A13" s="3" t="inlineStr">
        <is>
          <t>Lo que recibe el dueño</t>
        </is>
      </c>
      <c r="B13" s="18">
        <f>B4-B10</f>
        <v/>
      </c>
    </row>
    <row r="15">
      <c r="A15" s="17" t="inlineStr">
        <is>
          <t>Ejemplo orientativo: comisión entre 3% y 8% con un mínimo fijo. Firma siempre un contrato de consignación por escrito.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3"/>
  <sheetViews>
    <sheetView workbookViewId="0">
      <pane ySplit="3" topLeftCell="A4" activePane="bottomLeft" state="frozen"/>
      <selection pane="bottomLeft" activeCell="A1" sqref="A1"/>
    </sheetView>
  </sheetViews>
  <sheetFormatPr baseColWidth="8" defaultRowHeight="15"/>
  <cols>
    <col width="30" customWidth="1" min="1" max="1"/>
    <col width="16" customWidth="1" min="2" max="2"/>
    <col width="13" customWidth="1" min="3" max="3"/>
    <col width="14" customWidth="1" min="4" max="4"/>
    <col width="14" customWidth="1" min="5" max="5"/>
    <col width="13" customWidth="1" min="6" max="6"/>
    <col width="14" customWidth="1" min="7" max="7"/>
    <col width="10" customWidth="1" min="8" max="8"/>
    <col width="14" customWidth="1" min="9" max="9"/>
    <col width="10" customWidth="1" min="10" max="10"/>
    <col width="16" customWidth="1" min="11" max="11"/>
    <col width="3" customWidth="1" min="12" max="12"/>
    <col width="34" customWidth="1" min="13" max="13"/>
    <col width="14" customWidth="1" min="14" max="14"/>
  </cols>
  <sheetData>
    <row r="1">
      <c r="A1" s="1" t="inlineStr">
        <is>
          <t>Registro de operaciones</t>
        </is>
      </c>
    </row>
    <row r="3">
      <c r="A3" s="20" t="inlineStr">
        <is>
          <t>Coche</t>
        </is>
      </c>
      <c r="B3" s="20" t="inlineStr">
        <is>
          <t>Tipo</t>
        </is>
      </c>
      <c r="C3" s="20" t="inlineStr">
        <is>
          <t>Fecha compra</t>
        </is>
      </c>
      <c r="D3" s="20" t="inlineStr">
        <is>
          <t>Precio compra</t>
        </is>
      </c>
      <c r="E3" s="20" t="inlineStr">
        <is>
          <t>Gastos totales</t>
        </is>
      </c>
      <c r="F3" s="20" t="inlineStr">
        <is>
          <t>Fecha venta</t>
        </is>
      </c>
      <c r="G3" s="20" t="inlineStr">
        <is>
          <t>Precio venta</t>
        </is>
      </c>
      <c r="H3" s="20" t="inlineStr">
        <is>
          <t>Días en stock</t>
        </is>
      </c>
      <c r="I3" s="20" t="inlineStr">
        <is>
          <t>Ganancia neta</t>
        </is>
      </c>
      <c r="J3" s="20" t="inlineStr">
        <is>
          <t>Margen</t>
        </is>
      </c>
      <c r="K3" s="20" t="inlineStr">
        <is>
          <t>Canal de venta</t>
        </is>
      </c>
      <c r="M3" s="4" t="inlineStr">
        <is>
          <t>Resumen</t>
        </is>
      </c>
      <c r="N3" s="10" t="n"/>
    </row>
    <row r="4">
      <c r="A4" s="21" t="inlineStr">
        <is>
          <t>Ejemplo: Toyota Yaris 2011</t>
        </is>
      </c>
      <c r="B4" s="21" t="inlineStr">
        <is>
          <t>Compra propia</t>
        </is>
      </c>
      <c r="C4" s="22" t="n">
        <v>46305</v>
      </c>
      <c r="D4" s="5" t="n">
        <v>3300</v>
      </c>
      <c r="E4" s="5" t="n">
        <v>600</v>
      </c>
      <c r="F4" s="22" t="n">
        <v>46331</v>
      </c>
      <c r="G4" s="5" t="n">
        <v>4800</v>
      </c>
      <c r="H4" s="15">
        <f>IF(OR(C4="",F4=""),"",F4-C4)</f>
        <v/>
      </c>
      <c r="I4" s="12">
        <f>IF(G4="","",IF(B4="Consignación",G4-E4,G4-D4-E4))</f>
        <v/>
      </c>
      <c r="J4" s="13">
        <f>IF(OR(G4="",G4=0),"",IF(B4="Consignación",I4/D4,I4/G4))</f>
        <v/>
      </c>
      <c r="K4" s="21" t="inlineStr">
        <is>
          <t>Instagram</t>
        </is>
      </c>
      <c r="M4" s="2" t="inlineStr">
        <is>
          <t>Operaciones cerradas</t>
        </is>
      </c>
      <c r="N4" s="23">
        <f>COUNT(I4:I53)</f>
        <v/>
      </c>
    </row>
    <row r="5">
      <c r="A5" s="21" t="n"/>
      <c r="B5" s="21" t="n"/>
      <c r="C5" s="22" t="n"/>
      <c r="D5" s="5" t="n"/>
      <c r="E5" s="5" t="n"/>
      <c r="F5" s="22" t="n"/>
      <c r="G5" s="5" t="n"/>
      <c r="H5" s="15">
        <f>IF(OR(C5="",F5=""),"",F5-C5)</f>
        <v/>
      </c>
      <c r="I5" s="12">
        <f>IF(G5="","",IF(B5="Consignación",G5-E5,G5-D5-E5))</f>
        <v/>
      </c>
      <c r="J5" s="13">
        <f>IF(OR(G5="",G5=0),"",IF(B5="Consignación",I5/D5,I5/G5))</f>
        <v/>
      </c>
      <c r="K5" s="21" t="n"/>
      <c r="M5" s="2" t="inlineStr">
        <is>
          <t>Ganancia total</t>
        </is>
      </c>
      <c r="N5" s="18">
        <f>SUM(I4:I53)</f>
        <v/>
      </c>
    </row>
    <row r="6">
      <c r="A6" s="21" t="n"/>
      <c r="B6" s="21" t="n"/>
      <c r="C6" s="22" t="n"/>
      <c r="D6" s="5" t="n"/>
      <c r="E6" s="5" t="n"/>
      <c r="F6" s="22" t="n"/>
      <c r="G6" s="5" t="n"/>
      <c r="H6" s="15">
        <f>IF(OR(C6="",F6=""),"",F6-C6)</f>
        <v/>
      </c>
      <c r="I6" s="12">
        <f>IF(G6="","",IF(B6="Consignación",G6-E6,G6-D6-E6))</f>
        <v/>
      </c>
      <c r="J6" s="13">
        <f>IF(OR(G6="",G6=0),"",IF(B6="Consignación",I6/D6,I6/G6))</f>
        <v/>
      </c>
      <c r="K6" s="21" t="n"/>
      <c r="M6" s="2" t="inlineStr">
        <is>
          <t>Ganancia media</t>
        </is>
      </c>
      <c r="N6" s="18">
        <f>IF(N4=0,0,N5/N4)</f>
        <v/>
      </c>
    </row>
    <row r="7">
      <c r="A7" s="21" t="n"/>
      <c r="B7" s="21" t="n"/>
      <c r="C7" s="22" t="n"/>
      <c r="D7" s="5" t="n"/>
      <c r="E7" s="5" t="n"/>
      <c r="F7" s="22" t="n"/>
      <c r="G7" s="5" t="n"/>
      <c r="H7" s="15">
        <f>IF(OR(C7="",F7=""),"",F7-C7)</f>
        <v/>
      </c>
      <c r="I7" s="12">
        <f>IF(G7="","",IF(B7="Consignación",G7-E7,G7-D7-E7))</f>
        <v/>
      </c>
      <c r="J7" s="13">
        <f>IF(OR(G7="",G7=0),"",IF(B7="Consignación",I7/D7,I7/G7))</f>
        <v/>
      </c>
      <c r="K7" s="21" t="n"/>
      <c r="M7" s="2" t="inlineStr">
        <is>
          <t>Días medios en stock</t>
        </is>
      </c>
      <c r="N7" s="23">
        <f>IF(COUNT(H4:H53)=0,0,AVERAGE(H4:H53))</f>
        <v/>
      </c>
    </row>
    <row r="8">
      <c r="A8" s="21" t="n"/>
      <c r="B8" s="21" t="n"/>
      <c r="C8" s="22" t="n"/>
      <c r="D8" s="5" t="n"/>
      <c r="E8" s="5" t="n"/>
      <c r="F8" s="22" t="n"/>
      <c r="G8" s="5" t="n"/>
      <c r="H8" s="15">
        <f>IF(OR(C8="",F8=""),"",F8-C8)</f>
        <v/>
      </c>
      <c r="I8" s="12">
        <f>IF(G8="","",IF(B8="Consignación",G8-E8,G8-D8-E8))</f>
        <v/>
      </c>
      <c r="J8" s="13">
        <f>IF(OR(G8="",G8=0),"",IF(B8="Consignación",I8/D8,I8/G8))</f>
        <v/>
      </c>
      <c r="K8" s="21" t="n"/>
      <c r="M8" s="2" t="inlineStr">
        <is>
          <t>Margen medio</t>
        </is>
      </c>
      <c r="N8" s="24">
        <f>IF(COUNT(J4:J53)=0,0,AVERAGE(J4:J53))</f>
        <v/>
      </c>
    </row>
    <row r="9">
      <c r="A9" s="21" t="n"/>
      <c r="B9" s="21" t="n"/>
      <c r="C9" s="22" t="n"/>
      <c r="D9" s="5" t="n"/>
      <c r="E9" s="5" t="n"/>
      <c r="F9" s="22" t="n"/>
      <c r="G9" s="5" t="n"/>
      <c r="H9" s="15">
        <f>IF(OR(C9="",F9=""),"",F9-C9)</f>
        <v/>
      </c>
      <c r="I9" s="12">
        <f>IF(G9="","",IF(B9="Consignación",G9-E9,G9-D9-E9))</f>
        <v/>
      </c>
      <c r="J9" s="13">
        <f>IF(OR(G9="",G9=0),"",IF(B9="Consignación",I9/D9,I9/G9))</f>
        <v/>
      </c>
      <c r="K9" s="21" t="n"/>
      <c r="M9" s="2" t="inlineStr">
        <is>
          <t>Capital actual (inicial + ganancias)</t>
        </is>
      </c>
      <c r="N9" s="18">
        <f>Reglas!B8+N5</f>
        <v/>
      </c>
    </row>
    <row r="10">
      <c r="A10" s="21" t="n"/>
      <c r="B10" s="21" t="n"/>
      <c r="C10" s="22" t="n"/>
      <c r="D10" s="5" t="n"/>
      <c r="E10" s="5" t="n"/>
      <c r="F10" s="22" t="n"/>
      <c r="G10" s="5" t="n"/>
      <c r="H10" s="15">
        <f>IF(OR(C10="",F10=""),"",F10-C10)</f>
        <v/>
      </c>
      <c r="I10" s="12">
        <f>IF(G10="","",IF(B10="Consignación",G10-E10,G10-D10-E10))</f>
        <v/>
      </c>
      <c r="J10" s="13">
        <f>IF(OR(G10="",G10=0),"",IF(B10="Consignación",I10/D10,I10/G10))</f>
        <v/>
      </c>
      <c r="K10" s="21" t="n"/>
    </row>
    <row r="11">
      <c r="A11" s="21" t="n"/>
      <c r="B11" s="21" t="n"/>
      <c r="C11" s="22" t="n"/>
      <c r="D11" s="5" t="n"/>
      <c r="E11" s="5" t="n"/>
      <c r="F11" s="22" t="n"/>
      <c r="G11" s="5" t="n"/>
      <c r="H11" s="15">
        <f>IF(OR(C11="",F11=""),"",F11-C11)</f>
        <v/>
      </c>
      <c r="I11" s="12">
        <f>IF(G11="","",IF(B11="Consignación",G11-E11,G11-D11-E11))</f>
        <v/>
      </c>
      <c r="J11" s="13">
        <f>IF(OR(G11="",G11=0),"",IF(B11="Consignación",I11/D11,I11/G11))</f>
        <v/>
      </c>
      <c r="K11" s="21" t="n"/>
    </row>
    <row r="12">
      <c r="A12" s="21" t="n"/>
      <c r="B12" s="21" t="n"/>
      <c r="C12" s="22" t="n"/>
      <c r="D12" s="5" t="n"/>
      <c r="E12" s="5" t="n"/>
      <c r="F12" s="22" t="n"/>
      <c r="G12" s="5" t="n"/>
      <c r="H12" s="15">
        <f>IF(OR(C12="",F12=""),"",F12-C12)</f>
        <v/>
      </c>
      <c r="I12" s="12">
        <f>IF(G12="","",IF(B12="Consignación",G12-E12,G12-D12-E12))</f>
        <v/>
      </c>
      <c r="J12" s="13">
        <f>IF(OR(G12="",G12=0),"",IF(B12="Consignación",I12/D12,I12/G12))</f>
        <v/>
      </c>
      <c r="K12" s="21" t="n"/>
    </row>
    <row r="13">
      <c r="A13" s="21" t="n"/>
      <c r="B13" s="21" t="n"/>
      <c r="C13" s="22" t="n"/>
      <c r="D13" s="5" t="n"/>
      <c r="E13" s="5" t="n"/>
      <c r="F13" s="22" t="n"/>
      <c r="G13" s="5" t="n"/>
      <c r="H13" s="15">
        <f>IF(OR(C13="",F13=""),"",F13-C13)</f>
        <v/>
      </c>
      <c r="I13" s="12">
        <f>IF(G13="","",IF(B13="Consignación",G13-E13,G13-D13-E13))</f>
        <v/>
      </c>
      <c r="J13" s="13">
        <f>IF(OR(G13="",G13=0),"",IF(B13="Consignación",I13/D13,I13/G13))</f>
        <v/>
      </c>
      <c r="K13" s="21" t="n"/>
    </row>
    <row r="14">
      <c r="A14" s="21" t="n"/>
      <c r="B14" s="21" t="n"/>
      <c r="C14" s="22" t="n"/>
      <c r="D14" s="5" t="n"/>
      <c r="E14" s="5" t="n"/>
      <c r="F14" s="22" t="n"/>
      <c r="G14" s="5" t="n"/>
      <c r="H14" s="15">
        <f>IF(OR(C14="",F14=""),"",F14-C14)</f>
        <v/>
      </c>
      <c r="I14" s="12">
        <f>IF(G14="","",IF(B14="Consignación",G14-E14,G14-D14-E14))</f>
        <v/>
      </c>
      <c r="J14" s="13">
        <f>IF(OR(G14="",G14=0),"",IF(B14="Consignación",I14/D14,I14/G14))</f>
        <v/>
      </c>
      <c r="K14" s="21" t="n"/>
    </row>
    <row r="15">
      <c r="A15" s="21" t="n"/>
      <c r="B15" s="21" t="n"/>
      <c r="C15" s="22" t="n"/>
      <c r="D15" s="5" t="n"/>
      <c r="E15" s="5" t="n"/>
      <c r="F15" s="22" t="n"/>
      <c r="G15" s="5" t="n"/>
      <c r="H15" s="15">
        <f>IF(OR(C15="",F15=""),"",F15-C15)</f>
        <v/>
      </c>
      <c r="I15" s="12">
        <f>IF(G15="","",IF(B15="Consignación",G15-E15,G15-D15-E15))</f>
        <v/>
      </c>
      <c r="J15" s="13">
        <f>IF(OR(G15="",G15=0),"",IF(B15="Consignación",I15/D15,I15/G15))</f>
        <v/>
      </c>
      <c r="K15" s="21" t="n"/>
    </row>
    <row r="16">
      <c r="A16" s="21" t="n"/>
      <c r="B16" s="21" t="n"/>
      <c r="C16" s="22" t="n"/>
      <c r="D16" s="5" t="n"/>
      <c r="E16" s="5" t="n"/>
      <c r="F16" s="22" t="n"/>
      <c r="G16" s="5" t="n"/>
      <c r="H16" s="15">
        <f>IF(OR(C16="",F16=""),"",F16-C16)</f>
        <v/>
      </c>
      <c r="I16" s="12">
        <f>IF(G16="","",IF(B16="Consignación",G16-E16,G16-D16-E16))</f>
        <v/>
      </c>
      <c r="J16" s="13">
        <f>IF(OR(G16="",G16=0),"",IF(B16="Consignación",I16/D16,I16/G16))</f>
        <v/>
      </c>
      <c r="K16" s="21" t="n"/>
    </row>
    <row r="17">
      <c r="A17" s="21" t="n"/>
      <c r="B17" s="21" t="n"/>
      <c r="C17" s="22" t="n"/>
      <c r="D17" s="5" t="n"/>
      <c r="E17" s="5" t="n"/>
      <c r="F17" s="22" t="n"/>
      <c r="G17" s="5" t="n"/>
      <c r="H17" s="15">
        <f>IF(OR(C17="",F17=""),"",F17-C17)</f>
        <v/>
      </c>
      <c r="I17" s="12">
        <f>IF(G17="","",IF(B17="Consignación",G17-E17,G17-D17-E17))</f>
        <v/>
      </c>
      <c r="J17" s="13">
        <f>IF(OR(G17="",G17=0),"",IF(B17="Consignación",I17/D17,I17/G17))</f>
        <v/>
      </c>
      <c r="K17" s="21" t="n"/>
    </row>
    <row r="18">
      <c r="A18" s="21" t="n"/>
      <c r="B18" s="21" t="n"/>
      <c r="C18" s="22" t="n"/>
      <c r="D18" s="5" t="n"/>
      <c r="E18" s="5" t="n"/>
      <c r="F18" s="22" t="n"/>
      <c r="G18" s="5" t="n"/>
      <c r="H18" s="15">
        <f>IF(OR(C18="",F18=""),"",F18-C18)</f>
        <v/>
      </c>
      <c r="I18" s="12">
        <f>IF(G18="","",IF(B18="Consignación",G18-E18,G18-D18-E18))</f>
        <v/>
      </c>
      <c r="J18" s="13">
        <f>IF(OR(G18="",G18=0),"",IF(B18="Consignación",I18/D18,I18/G18))</f>
        <v/>
      </c>
      <c r="K18" s="21" t="n"/>
    </row>
    <row r="19">
      <c r="A19" s="21" t="n"/>
      <c r="B19" s="21" t="n"/>
      <c r="C19" s="22" t="n"/>
      <c r="D19" s="5" t="n"/>
      <c r="E19" s="5" t="n"/>
      <c r="F19" s="22" t="n"/>
      <c r="G19" s="5" t="n"/>
      <c r="H19" s="15">
        <f>IF(OR(C19="",F19=""),"",F19-C19)</f>
        <v/>
      </c>
      <c r="I19" s="12">
        <f>IF(G19="","",IF(B19="Consignación",G19-E19,G19-D19-E19))</f>
        <v/>
      </c>
      <c r="J19" s="13">
        <f>IF(OR(G19="",G19=0),"",IF(B19="Consignación",I19/D19,I19/G19))</f>
        <v/>
      </c>
      <c r="K19" s="21" t="n"/>
    </row>
    <row r="20">
      <c r="A20" s="21" t="n"/>
      <c r="B20" s="21" t="n"/>
      <c r="C20" s="22" t="n"/>
      <c r="D20" s="5" t="n"/>
      <c r="E20" s="5" t="n"/>
      <c r="F20" s="22" t="n"/>
      <c r="G20" s="5" t="n"/>
      <c r="H20" s="15">
        <f>IF(OR(C20="",F20=""),"",F20-C20)</f>
        <v/>
      </c>
      <c r="I20" s="12">
        <f>IF(G20="","",IF(B20="Consignación",G20-E20,G20-D20-E20))</f>
        <v/>
      </c>
      <c r="J20" s="13">
        <f>IF(OR(G20="",G20=0),"",IF(B20="Consignación",I20/D20,I20/G20))</f>
        <v/>
      </c>
      <c r="K20" s="21" t="n"/>
    </row>
    <row r="21">
      <c r="A21" s="21" t="n"/>
      <c r="B21" s="21" t="n"/>
      <c r="C21" s="22" t="n"/>
      <c r="D21" s="5" t="n"/>
      <c r="E21" s="5" t="n"/>
      <c r="F21" s="22" t="n"/>
      <c r="G21" s="5" t="n"/>
      <c r="H21" s="15">
        <f>IF(OR(C21="",F21=""),"",F21-C21)</f>
        <v/>
      </c>
      <c r="I21" s="12">
        <f>IF(G21="","",IF(B21="Consignación",G21-E21,G21-D21-E21))</f>
        <v/>
      </c>
      <c r="J21" s="13">
        <f>IF(OR(G21="",G21=0),"",IF(B21="Consignación",I21/D21,I21/G21))</f>
        <v/>
      </c>
      <c r="K21" s="21" t="n"/>
    </row>
    <row r="22">
      <c r="A22" s="21" t="n"/>
      <c r="B22" s="21" t="n"/>
      <c r="C22" s="22" t="n"/>
      <c r="D22" s="5" t="n"/>
      <c r="E22" s="5" t="n"/>
      <c r="F22" s="22" t="n"/>
      <c r="G22" s="5" t="n"/>
      <c r="H22" s="15">
        <f>IF(OR(C22="",F22=""),"",F22-C22)</f>
        <v/>
      </c>
      <c r="I22" s="12">
        <f>IF(G22="","",IF(B22="Consignación",G22-E22,G22-D22-E22))</f>
        <v/>
      </c>
      <c r="J22" s="13">
        <f>IF(OR(G22="",G22=0),"",IF(B22="Consignación",I22/D22,I22/G22))</f>
        <v/>
      </c>
      <c r="K22" s="21" t="n"/>
    </row>
    <row r="23">
      <c r="A23" s="21" t="n"/>
      <c r="B23" s="21" t="n"/>
      <c r="C23" s="22" t="n"/>
      <c r="D23" s="5" t="n"/>
      <c r="E23" s="5" t="n"/>
      <c r="F23" s="22" t="n"/>
      <c r="G23" s="5" t="n"/>
      <c r="H23" s="15">
        <f>IF(OR(C23="",F23=""),"",F23-C23)</f>
        <v/>
      </c>
      <c r="I23" s="12">
        <f>IF(G23="","",IF(B23="Consignación",G23-E23,G23-D23-E23))</f>
        <v/>
      </c>
      <c r="J23" s="13">
        <f>IF(OR(G23="",G23=0),"",IF(B23="Consignación",I23/D23,I23/G23))</f>
        <v/>
      </c>
      <c r="K23" s="21" t="n"/>
    </row>
    <row r="24">
      <c r="A24" s="21" t="n"/>
      <c r="B24" s="21" t="n"/>
      <c r="C24" s="22" t="n"/>
      <c r="D24" s="5" t="n"/>
      <c r="E24" s="5" t="n"/>
      <c r="F24" s="22" t="n"/>
      <c r="G24" s="5" t="n"/>
      <c r="H24" s="15">
        <f>IF(OR(C24="",F24=""),"",F24-C24)</f>
        <v/>
      </c>
      <c r="I24" s="12">
        <f>IF(G24="","",IF(B24="Consignación",G24-E24,G24-D24-E24))</f>
        <v/>
      </c>
      <c r="J24" s="13">
        <f>IF(OR(G24="",G24=0),"",IF(B24="Consignación",I24/D24,I24/G24))</f>
        <v/>
      </c>
      <c r="K24" s="21" t="n"/>
    </row>
    <row r="25">
      <c r="A25" s="21" t="n"/>
      <c r="B25" s="21" t="n"/>
      <c r="C25" s="22" t="n"/>
      <c r="D25" s="5" t="n"/>
      <c r="E25" s="5" t="n"/>
      <c r="F25" s="22" t="n"/>
      <c r="G25" s="5" t="n"/>
      <c r="H25" s="15">
        <f>IF(OR(C25="",F25=""),"",F25-C25)</f>
        <v/>
      </c>
      <c r="I25" s="12">
        <f>IF(G25="","",IF(B25="Consignación",G25-E25,G25-D25-E25))</f>
        <v/>
      </c>
      <c r="J25" s="13">
        <f>IF(OR(G25="",G25=0),"",IF(B25="Consignación",I25/D25,I25/G25))</f>
        <v/>
      </c>
      <c r="K25" s="21" t="n"/>
    </row>
    <row r="26">
      <c r="A26" s="21" t="n"/>
      <c r="B26" s="21" t="n"/>
      <c r="C26" s="22" t="n"/>
      <c r="D26" s="5" t="n"/>
      <c r="E26" s="5" t="n"/>
      <c r="F26" s="22" t="n"/>
      <c r="G26" s="5" t="n"/>
      <c r="H26" s="15">
        <f>IF(OR(C26="",F26=""),"",F26-C26)</f>
        <v/>
      </c>
      <c r="I26" s="12">
        <f>IF(G26="","",IF(B26="Consignación",G26-E26,G26-D26-E26))</f>
        <v/>
      </c>
      <c r="J26" s="13">
        <f>IF(OR(G26="",G26=0),"",IF(B26="Consignación",I26/D26,I26/G26))</f>
        <v/>
      </c>
      <c r="K26" s="21" t="n"/>
    </row>
    <row r="27">
      <c r="A27" s="21" t="n"/>
      <c r="B27" s="21" t="n"/>
      <c r="C27" s="22" t="n"/>
      <c r="D27" s="5" t="n"/>
      <c r="E27" s="5" t="n"/>
      <c r="F27" s="22" t="n"/>
      <c r="G27" s="5" t="n"/>
      <c r="H27" s="15">
        <f>IF(OR(C27="",F27=""),"",F27-C27)</f>
        <v/>
      </c>
      <c r="I27" s="12">
        <f>IF(G27="","",IF(B27="Consignación",G27-E27,G27-D27-E27))</f>
        <v/>
      </c>
      <c r="J27" s="13">
        <f>IF(OR(G27="",G27=0),"",IF(B27="Consignación",I27/D27,I27/G27))</f>
        <v/>
      </c>
      <c r="K27" s="21" t="n"/>
    </row>
    <row r="28">
      <c r="A28" s="21" t="n"/>
      <c r="B28" s="21" t="n"/>
      <c r="C28" s="22" t="n"/>
      <c r="D28" s="5" t="n"/>
      <c r="E28" s="5" t="n"/>
      <c r="F28" s="22" t="n"/>
      <c r="G28" s="5" t="n"/>
      <c r="H28" s="15">
        <f>IF(OR(C28="",F28=""),"",F28-C28)</f>
        <v/>
      </c>
      <c r="I28" s="12">
        <f>IF(G28="","",IF(B28="Consignación",G28-E28,G28-D28-E28))</f>
        <v/>
      </c>
      <c r="J28" s="13">
        <f>IF(OR(G28="",G28=0),"",IF(B28="Consignación",I28/D28,I28/G28))</f>
        <v/>
      </c>
      <c r="K28" s="21" t="n"/>
    </row>
    <row r="29">
      <c r="A29" s="21" t="n"/>
      <c r="B29" s="21" t="n"/>
      <c r="C29" s="22" t="n"/>
      <c r="D29" s="5" t="n"/>
      <c r="E29" s="5" t="n"/>
      <c r="F29" s="22" t="n"/>
      <c r="G29" s="5" t="n"/>
      <c r="H29" s="15">
        <f>IF(OR(C29="",F29=""),"",F29-C29)</f>
        <v/>
      </c>
      <c r="I29" s="12">
        <f>IF(G29="","",IF(B29="Consignación",G29-E29,G29-D29-E29))</f>
        <v/>
      </c>
      <c r="J29" s="13">
        <f>IF(OR(G29="",G29=0),"",IF(B29="Consignación",I29/D29,I29/G29))</f>
        <v/>
      </c>
      <c r="K29" s="21" t="n"/>
    </row>
    <row r="30">
      <c r="A30" s="21" t="n"/>
      <c r="B30" s="21" t="n"/>
      <c r="C30" s="22" t="n"/>
      <c r="D30" s="5" t="n"/>
      <c r="E30" s="5" t="n"/>
      <c r="F30" s="22" t="n"/>
      <c r="G30" s="5" t="n"/>
      <c r="H30" s="15">
        <f>IF(OR(C30="",F30=""),"",F30-C30)</f>
        <v/>
      </c>
      <c r="I30" s="12">
        <f>IF(G30="","",IF(B30="Consignación",G30-E30,G30-D30-E30))</f>
        <v/>
      </c>
      <c r="J30" s="13">
        <f>IF(OR(G30="",G30=0),"",IF(B30="Consignación",I30/D30,I30/G30))</f>
        <v/>
      </c>
      <c r="K30" s="21" t="n"/>
    </row>
    <row r="31">
      <c r="A31" s="21" t="n"/>
      <c r="B31" s="21" t="n"/>
      <c r="C31" s="22" t="n"/>
      <c r="D31" s="5" t="n"/>
      <c r="E31" s="5" t="n"/>
      <c r="F31" s="22" t="n"/>
      <c r="G31" s="5" t="n"/>
      <c r="H31" s="15">
        <f>IF(OR(C31="",F31=""),"",F31-C31)</f>
        <v/>
      </c>
      <c r="I31" s="12">
        <f>IF(G31="","",IF(B31="Consignación",G31-E31,G31-D31-E31))</f>
        <v/>
      </c>
      <c r="J31" s="13">
        <f>IF(OR(G31="",G31=0),"",IF(B31="Consignación",I31/D31,I31/G31))</f>
        <v/>
      </c>
      <c r="K31" s="21" t="n"/>
    </row>
    <row r="32">
      <c r="A32" s="21" t="n"/>
      <c r="B32" s="21" t="n"/>
      <c r="C32" s="22" t="n"/>
      <c r="D32" s="5" t="n"/>
      <c r="E32" s="5" t="n"/>
      <c r="F32" s="22" t="n"/>
      <c r="G32" s="5" t="n"/>
      <c r="H32" s="15">
        <f>IF(OR(C32="",F32=""),"",F32-C32)</f>
        <v/>
      </c>
      <c r="I32" s="12">
        <f>IF(G32="","",IF(B32="Consignación",G32-E32,G32-D32-E32))</f>
        <v/>
      </c>
      <c r="J32" s="13">
        <f>IF(OR(G32="",G32=0),"",IF(B32="Consignación",I32/D32,I32/G32))</f>
        <v/>
      </c>
      <c r="K32" s="21" t="n"/>
    </row>
    <row r="33">
      <c r="A33" s="21" t="n"/>
      <c r="B33" s="21" t="n"/>
      <c r="C33" s="22" t="n"/>
      <c r="D33" s="5" t="n"/>
      <c r="E33" s="5" t="n"/>
      <c r="F33" s="22" t="n"/>
      <c r="G33" s="5" t="n"/>
      <c r="H33" s="15">
        <f>IF(OR(C33="",F33=""),"",F33-C33)</f>
        <v/>
      </c>
      <c r="I33" s="12">
        <f>IF(G33="","",IF(B33="Consignación",G33-E33,G33-D33-E33))</f>
        <v/>
      </c>
      <c r="J33" s="13">
        <f>IF(OR(G33="",G33=0),"",IF(B33="Consignación",I33/D33,I33/G33))</f>
        <v/>
      </c>
      <c r="K33" s="21" t="n"/>
    </row>
    <row r="34">
      <c r="A34" s="21" t="n"/>
      <c r="B34" s="21" t="n"/>
      <c r="C34" s="22" t="n"/>
      <c r="D34" s="5" t="n"/>
      <c r="E34" s="5" t="n"/>
      <c r="F34" s="22" t="n"/>
      <c r="G34" s="5" t="n"/>
      <c r="H34" s="15">
        <f>IF(OR(C34="",F34=""),"",F34-C34)</f>
        <v/>
      </c>
      <c r="I34" s="12">
        <f>IF(G34="","",IF(B34="Consignación",G34-E34,G34-D34-E34))</f>
        <v/>
      </c>
      <c r="J34" s="13">
        <f>IF(OR(G34="",G34=0),"",IF(B34="Consignación",I34/D34,I34/G34))</f>
        <v/>
      </c>
      <c r="K34" s="21" t="n"/>
    </row>
    <row r="35">
      <c r="A35" s="21" t="n"/>
      <c r="B35" s="21" t="n"/>
      <c r="C35" s="22" t="n"/>
      <c r="D35" s="5" t="n"/>
      <c r="E35" s="5" t="n"/>
      <c r="F35" s="22" t="n"/>
      <c r="G35" s="5" t="n"/>
      <c r="H35" s="15">
        <f>IF(OR(C35="",F35=""),"",F35-C35)</f>
        <v/>
      </c>
      <c r="I35" s="12">
        <f>IF(G35="","",IF(B35="Consignación",G35-E35,G35-D35-E35))</f>
        <v/>
      </c>
      <c r="J35" s="13">
        <f>IF(OR(G35="",G35=0),"",IF(B35="Consignación",I35/D35,I35/G35))</f>
        <v/>
      </c>
      <c r="K35" s="21" t="n"/>
    </row>
    <row r="36">
      <c r="A36" s="21" t="n"/>
      <c r="B36" s="21" t="n"/>
      <c r="C36" s="22" t="n"/>
      <c r="D36" s="5" t="n"/>
      <c r="E36" s="5" t="n"/>
      <c r="F36" s="22" t="n"/>
      <c r="G36" s="5" t="n"/>
      <c r="H36" s="15">
        <f>IF(OR(C36="",F36=""),"",F36-C36)</f>
        <v/>
      </c>
      <c r="I36" s="12">
        <f>IF(G36="","",IF(B36="Consignación",G36-E36,G36-D36-E36))</f>
        <v/>
      </c>
      <c r="J36" s="13">
        <f>IF(OR(G36="",G36=0),"",IF(B36="Consignación",I36/D36,I36/G36))</f>
        <v/>
      </c>
      <c r="K36" s="21" t="n"/>
    </row>
    <row r="37">
      <c r="A37" s="21" t="n"/>
      <c r="B37" s="21" t="n"/>
      <c r="C37" s="22" t="n"/>
      <c r="D37" s="5" t="n"/>
      <c r="E37" s="5" t="n"/>
      <c r="F37" s="22" t="n"/>
      <c r="G37" s="5" t="n"/>
      <c r="H37" s="15">
        <f>IF(OR(C37="",F37=""),"",F37-C37)</f>
        <v/>
      </c>
      <c r="I37" s="12">
        <f>IF(G37="","",IF(B37="Consignación",G37-E37,G37-D37-E37))</f>
        <v/>
      </c>
      <c r="J37" s="13">
        <f>IF(OR(G37="",G37=0),"",IF(B37="Consignación",I37/D37,I37/G37))</f>
        <v/>
      </c>
      <c r="K37" s="21" t="n"/>
    </row>
    <row r="38">
      <c r="A38" s="21" t="n"/>
      <c r="B38" s="21" t="n"/>
      <c r="C38" s="22" t="n"/>
      <c r="D38" s="5" t="n"/>
      <c r="E38" s="5" t="n"/>
      <c r="F38" s="22" t="n"/>
      <c r="G38" s="5" t="n"/>
      <c r="H38" s="15">
        <f>IF(OR(C38="",F38=""),"",F38-C38)</f>
        <v/>
      </c>
      <c r="I38" s="12">
        <f>IF(G38="","",IF(B38="Consignación",G38-E38,G38-D38-E38))</f>
        <v/>
      </c>
      <c r="J38" s="13">
        <f>IF(OR(G38="",G38=0),"",IF(B38="Consignación",I38/D38,I38/G38))</f>
        <v/>
      </c>
      <c r="K38" s="21" t="n"/>
    </row>
    <row r="39">
      <c r="A39" s="21" t="n"/>
      <c r="B39" s="21" t="n"/>
      <c r="C39" s="22" t="n"/>
      <c r="D39" s="5" t="n"/>
      <c r="E39" s="5" t="n"/>
      <c r="F39" s="22" t="n"/>
      <c r="G39" s="5" t="n"/>
      <c r="H39" s="15">
        <f>IF(OR(C39="",F39=""),"",F39-C39)</f>
        <v/>
      </c>
      <c r="I39" s="12">
        <f>IF(G39="","",IF(B39="Consignación",G39-E39,G39-D39-E39))</f>
        <v/>
      </c>
      <c r="J39" s="13">
        <f>IF(OR(G39="",G39=0),"",IF(B39="Consignación",I39/D39,I39/G39))</f>
        <v/>
      </c>
      <c r="K39" s="21" t="n"/>
    </row>
    <row r="40">
      <c r="A40" s="21" t="n"/>
      <c r="B40" s="21" t="n"/>
      <c r="C40" s="22" t="n"/>
      <c r="D40" s="5" t="n"/>
      <c r="E40" s="5" t="n"/>
      <c r="F40" s="22" t="n"/>
      <c r="G40" s="5" t="n"/>
      <c r="H40" s="15">
        <f>IF(OR(C40="",F40=""),"",F40-C40)</f>
        <v/>
      </c>
      <c r="I40" s="12">
        <f>IF(G40="","",IF(B40="Consignación",G40-E40,G40-D40-E40))</f>
        <v/>
      </c>
      <c r="J40" s="13">
        <f>IF(OR(G40="",G40=0),"",IF(B40="Consignación",I40/D40,I40/G40))</f>
        <v/>
      </c>
      <c r="K40" s="21" t="n"/>
    </row>
    <row r="41">
      <c r="A41" s="21" t="n"/>
      <c r="B41" s="21" t="n"/>
      <c r="C41" s="22" t="n"/>
      <c r="D41" s="5" t="n"/>
      <c r="E41" s="5" t="n"/>
      <c r="F41" s="22" t="n"/>
      <c r="G41" s="5" t="n"/>
      <c r="H41" s="15">
        <f>IF(OR(C41="",F41=""),"",F41-C41)</f>
        <v/>
      </c>
      <c r="I41" s="12">
        <f>IF(G41="","",IF(B41="Consignación",G41-E41,G41-D41-E41))</f>
        <v/>
      </c>
      <c r="J41" s="13">
        <f>IF(OR(G41="",G41=0),"",IF(B41="Consignación",I41/D41,I41/G41))</f>
        <v/>
      </c>
      <c r="K41" s="21" t="n"/>
    </row>
    <row r="42">
      <c r="A42" s="21" t="n"/>
      <c r="B42" s="21" t="n"/>
      <c r="C42" s="22" t="n"/>
      <c r="D42" s="5" t="n"/>
      <c r="E42" s="5" t="n"/>
      <c r="F42" s="22" t="n"/>
      <c r="G42" s="5" t="n"/>
      <c r="H42" s="15">
        <f>IF(OR(C42="",F42=""),"",F42-C42)</f>
        <v/>
      </c>
      <c r="I42" s="12">
        <f>IF(G42="","",IF(B42="Consignación",G42-E42,G42-D42-E42))</f>
        <v/>
      </c>
      <c r="J42" s="13">
        <f>IF(OR(G42="",G42=0),"",IF(B42="Consignación",I42/D42,I42/G42))</f>
        <v/>
      </c>
      <c r="K42" s="21" t="n"/>
    </row>
    <row r="43">
      <c r="A43" s="21" t="n"/>
      <c r="B43" s="21" t="n"/>
      <c r="C43" s="22" t="n"/>
      <c r="D43" s="5" t="n"/>
      <c r="E43" s="5" t="n"/>
      <c r="F43" s="22" t="n"/>
      <c r="G43" s="5" t="n"/>
      <c r="H43" s="15">
        <f>IF(OR(C43="",F43=""),"",F43-C43)</f>
        <v/>
      </c>
      <c r="I43" s="12">
        <f>IF(G43="","",IF(B43="Consignación",G43-E43,G43-D43-E43))</f>
        <v/>
      </c>
      <c r="J43" s="13">
        <f>IF(OR(G43="",G43=0),"",IF(B43="Consignación",I43/D43,I43/G43))</f>
        <v/>
      </c>
      <c r="K43" s="21" t="n"/>
    </row>
    <row r="44">
      <c r="A44" s="21" t="n"/>
      <c r="B44" s="21" t="n"/>
      <c r="C44" s="22" t="n"/>
      <c r="D44" s="5" t="n"/>
      <c r="E44" s="5" t="n"/>
      <c r="F44" s="22" t="n"/>
      <c r="G44" s="5" t="n"/>
      <c r="H44" s="15">
        <f>IF(OR(C44="",F44=""),"",F44-C44)</f>
        <v/>
      </c>
      <c r="I44" s="12">
        <f>IF(G44="","",IF(B44="Consignación",G44-E44,G44-D44-E44))</f>
        <v/>
      </c>
      <c r="J44" s="13">
        <f>IF(OR(G44="",G44=0),"",IF(B44="Consignación",I44/D44,I44/G44))</f>
        <v/>
      </c>
      <c r="K44" s="21" t="n"/>
    </row>
    <row r="45">
      <c r="A45" s="21" t="n"/>
      <c r="B45" s="21" t="n"/>
      <c r="C45" s="22" t="n"/>
      <c r="D45" s="5" t="n"/>
      <c r="E45" s="5" t="n"/>
      <c r="F45" s="22" t="n"/>
      <c r="G45" s="5" t="n"/>
      <c r="H45" s="15">
        <f>IF(OR(C45="",F45=""),"",F45-C45)</f>
        <v/>
      </c>
      <c r="I45" s="12">
        <f>IF(G45="","",IF(B45="Consignación",G45-E45,G45-D45-E45))</f>
        <v/>
      </c>
      <c r="J45" s="13">
        <f>IF(OR(G45="",G45=0),"",IF(B45="Consignación",I45/D45,I45/G45))</f>
        <v/>
      </c>
      <c r="K45" s="21" t="n"/>
    </row>
    <row r="46">
      <c r="A46" s="21" t="n"/>
      <c r="B46" s="21" t="n"/>
      <c r="C46" s="22" t="n"/>
      <c r="D46" s="5" t="n"/>
      <c r="E46" s="5" t="n"/>
      <c r="F46" s="22" t="n"/>
      <c r="G46" s="5" t="n"/>
      <c r="H46" s="15">
        <f>IF(OR(C46="",F46=""),"",F46-C46)</f>
        <v/>
      </c>
      <c r="I46" s="12">
        <f>IF(G46="","",IF(B46="Consignación",G46-E46,G46-D46-E46))</f>
        <v/>
      </c>
      <c r="J46" s="13">
        <f>IF(OR(G46="",G46=0),"",IF(B46="Consignación",I46/D46,I46/G46))</f>
        <v/>
      </c>
      <c r="K46" s="21" t="n"/>
    </row>
    <row r="47">
      <c r="A47" s="21" t="n"/>
      <c r="B47" s="21" t="n"/>
      <c r="C47" s="22" t="n"/>
      <c r="D47" s="5" t="n"/>
      <c r="E47" s="5" t="n"/>
      <c r="F47" s="22" t="n"/>
      <c r="G47" s="5" t="n"/>
      <c r="H47" s="15">
        <f>IF(OR(C47="",F47=""),"",F47-C47)</f>
        <v/>
      </c>
      <c r="I47" s="12">
        <f>IF(G47="","",IF(B47="Consignación",G47-E47,G47-D47-E47))</f>
        <v/>
      </c>
      <c r="J47" s="13">
        <f>IF(OR(G47="",G47=0),"",IF(B47="Consignación",I47/D47,I47/G47))</f>
        <v/>
      </c>
      <c r="K47" s="21" t="n"/>
    </row>
    <row r="48">
      <c r="A48" s="21" t="n"/>
      <c r="B48" s="21" t="n"/>
      <c r="C48" s="22" t="n"/>
      <c r="D48" s="5" t="n"/>
      <c r="E48" s="5" t="n"/>
      <c r="F48" s="22" t="n"/>
      <c r="G48" s="5" t="n"/>
      <c r="H48" s="15">
        <f>IF(OR(C48="",F48=""),"",F48-C48)</f>
        <v/>
      </c>
      <c r="I48" s="12">
        <f>IF(G48="","",IF(B48="Consignación",G48-E48,G48-D48-E48))</f>
        <v/>
      </c>
      <c r="J48" s="13">
        <f>IF(OR(G48="",G48=0),"",IF(B48="Consignación",I48/D48,I48/G48))</f>
        <v/>
      </c>
      <c r="K48" s="21" t="n"/>
    </row>
    <row r="49">
      <c r="A49" s="21" t="n"/>
      <c r="B49" s="21" t="n"/>
      <c r="C49" s="22" t="n"/>
      <c r="D49" s="5" t="n"/>
      <c r="E49" s="5" t="n"/>
      <c r="F49" s="22" t="n"/>
      <c r="G49" s="5" t="n"/>
      <c r="H49" s="15">
        <f>IF(OR(C49="",F49=""),"",F49-C49)</f>
        <v/>
      </c>
      <c r="I49" s="12">
        <f>IF(G49="","",IF(B49="Consignación",G49-E49,G49-D49-E49))</f>
        <v/>
      </c>
      <c r="J49" s="13">
        <f>IF(OR(G49="",G49=0),"",IF(B49="Consignación",I49/D49,I49/G49))</f>
        <v/>
      </c>
      <c r="K49" s="21" t="n"/>
    </row>
    <row r="50">
      <c r="A50" s="21" t="n"/>
      <c r="B50" s="21" t="n"/>
      <c r="C50" s="22" t="n"/>
      <c r="D50" s="5" t="n"/>
      <c r="E50" s="5" t="n"/>
      <c r="F50" s="22" t="n"/>
      <c r="G50" s="5" t="n"/>
      <c r="H50" s="15">
        <f>IF(OR(C50="",F50=""),"",F50-C50)</f>
        <v/>
      </c>
      <c r="I50" s="12">
        <f>IF(G50="","",IF(B50="Consignación",G50-E50,G50-D50-E50))</f>
        <v/>
      </c>
      <c r="J50" s="13">
        <f>IF(OR(G50="",G50=0),"",IF(B50="Consignación",I50/D50,I50/G50))</f>
        <v/>
      </c>
      <c r="K50" s="21" t="n"/>
    </row>
    <row r="51">
      <c r="A51" s="21" t="n"/>
      <c r="B51" s="21" t="n"/>
      <c r="C51" s="22" t="n"/>
      <c r="D51" s="5" t="n"/>
      <c r="E51" s="5" t="n"/>
      <c r="F51" s="22" t="n"/>
      <c r="G51" s="5" t="n"/>
      <c r="H51" s="15">
        <f>IF(OR(C51="",F51=""),"",F51-C51)</f>
        <v/>
      </c>
      <c r="I51" s="12">
        <f>IF(G51="","",IF(B51="Consignación",G51-E51,G51-D51-E51))</f>
        <v/>
      </c>
      <c r="J51" s="13">
        <f>IF(OR(G51="",G51=0),"",IF(B51="Consignación",I51/D51,I51/G51))</f>
        <v/>
      </c>
      <c r="K51" s="21" t="n"/>
    </row>
    <row r="52">
      <c r="A52" s="21" t="n"/>
      <c r="B52" s="21" t="n"/>
      <c r="C52" s="22" t="n"/>
      <c r="D52" s="5" t="n"/>
      <c r="E52" s="5" t="n"/>
      <c r="F52" s="22" t="n"/>
      <c r="G52" s="5" t="n"/>
      <c r="H52" s="15">
        <f>IF(OR(C52="",F52=""),"",F52-C52)</f>
        <v/>
      </c>
      <c r="I52" s="12">
        <f>IF(G52="","",IF(B52="Consignación",G52-E52,G52-D52-E52))</f>
        <v/>
      </c>
      <c r="J52" s="13">
        <f>IF(OR(G52="",G52=0),"",IF(B52="Consignación",I52/D52,I52/G52))</f>
        <v/>
      </c>
      <c r="K52" s="21" t="n"/>
    </row>
    <row r="53">
      <c r="A53" s="21" t="n"/>
      <c r="B53" s="21" t="n"/>
      <c r="C53" s="22" t="n"/>
      <c r="D53" s="5" t="n"/>
      <c r="E53" s="5" t="n"/>
      <c r="F53" s="22" t="n"/>
      <c r="G53" s="5" t="n"/>
      <c r="H53" s="15">
        <f>IF(OR(C53="",F53=""),"",F53-C53)</f>
        <v/>
      </c>
      <c r="I53" s="12">
        <f>IF(G53="","",IF(B53="Consignación",G53-E53,G53-D53-E53))</f>
        <v/>
      </c>
      <c r="J53" s="13">
        <f>IF(OR(G53="",G53=0),"",IF(B53="Consignación",I53/D53,I53/G53))</f>
        <v/>
      </c>
      <c r="K53" s="21" t="n"/>
    </row>
  </sheetData>
  <dataValidations count="1">
    <dataValidation sqref="B4 B5 B6 B7 B8 B9 B10 B11 B12 B13 B14 B15 B16 B17 B18 B19 B20 B21 B22 B23 B24 B25 B26 B27 B28 B29 B30 B31 B32 B33 B34 B35 B36 B37 B38 B39 B40 B41 B42 B43 B44 B45 B46 B47 B48 B49 B50 B51 B52 B53" showDropDown="0" showInputMessage="0" showErrorMessage="0" allowBlank="1" type="list">
      <formula1>"Compra propia,Consignación"</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O204"/>
  <sheetViews>
    <sheetView workbookViewId="0">
      <pane ySplit="4" topLeftCell="A5" activePane="bottomLeft" state="frozen"/>
      <selection pane="bottomLeft" activeCell="A1" sqref="A1"/>
    </sheetView>
  </sheetViews>
  <sheetFormatPr baseColWidth="8" defaultRowHeight="15"/>
  <cols>
    <col width="18" customWidth="1" min="1" max="1"/>
    <col width="7" customWidth="1" min="2" max="2"/>
    <col width="10" customWidth="1" min="3" max="3"/>
    <col width="12" customWidth="1" min="4" max="4"/>
    <col width="13" customWidth="1" min="5" max="5"/>
    <col width="24" customWidth="1" min="6" max="6"/>
    <col width="12" customWidth="1" min="7" max="7"/>
    <col width="22" customWidth="1" min="8" max="8"/>
    <col width="3" customWidth="1" min="9" max="9"/>
    <col width="20" customWidth="1" min="10" max="10"/>
    <col width="10" customWidth="1" min="11" max="11"/>
    <col width="13" customWidth="1" min="12" max="12"/>
    <col width="11" customWidth="1" min="13" max="13"/>
    <col width="11" customWidth="1" min="14" max="14"/>
    <col width="14" customWidth="1" min="15" max="15"/>
  </cols>
  <sheetData>
    <row r="1">
      <c r="A1" s="1" t="inlineStr">
        <is>
          <t>Mapa de precios: anuncios comparables (Ciudad de Panamá)</t>
        </is>
      </c>
    </row>
    <row r="2">
      <c r="A2" s="6" t="inlineStr">
        <is>
          <t>Anota cada anuncio que veas de tus modelos objetivo. El resumen te dice el precio típico pedido de cada modelo.</t>
        </is>
      </c>
    </row>
    <row r="4">
      <c r="A4" s="4" t="inlineStr">
        <is>
          <t>Modelo</t>
        </is>
      </c>
      <c r="B4" s="4" t="inlineStr">
        <is>
          <t>Año</t>
        </is>
      </c>
      <c r="C4" s="4" t="inlineStr">
        <is>
          <t>Km</t>
        </is>
      </c>
      <c r="D4" s="4" t="inlineStr">
        <is>
          <t>Transmisión</t>
        </is>
      </c>
      <c r="E4" s="4" t="inlineStr">
        <is>
          <t>Precio pedido</t>
        </is>
      </c>
      <c r="F4" s="4" t="inlineStr">
        <is>
          <t>Fuente / enlace</t>
        </is>
      </c>
      <c r="G4" s="4" t="inlineStr">
        <is>
          <t>Fecha</t>
        </is>
      </c>
      <c r="H4" s="4" t="inlineStr">
        <is>
          <t>Notas</t>
        </is>
      </c>
      <c r="J4" s="25" t="inlineStr">
        <is>
          <t>Modelo objetivo</t>
        </is>
      </c>
      <c r="K4" s="25" t="inlineStr">
        <is>
          <t>Anuncios</t>
        </is>
      </c>
      <c r="L4" s="25" t="inlineStr">
        <is>
          <t>Precio medio</t>
        </is>
      </c>
      <c r="M4" s="25" t="inlineStr">
        <is>
          <t>Mínimo</t>
        </is>
      </c>
      <c r="N4" s="25" t="inlineStr">
        <is>
          <t>Máximo</t>
        </is>
      </c>
      <c r="O4" s="25" t="inlineStr">
        <is>
          <t>Venta realista (-10%)</t>
        </is>
      </c>
    </row>
    <row r="5">
      <c r="A5" s="21" t="inlineStr">
        <is>
          <t>Mazda3</t>
        </is>
      </c>
      <c r="B5" s="21" t="n">
        <v>2010</v>
      </c>
      <c r="C5" s="26" t="n">
        <v>150000</v>
      </c>
      <c r="D5" s="21" t="inlineStr">
        <is>
          <t>Automática</t>
        </is>
      </c>
      <c r="E5" s="5" t="n">
        <v>5200</v>
      </c>
      <c r="F5" s="21" t="inlineStr">
        <is>
          <t>Encuentra24</t>
        </is>
      </c>
      <c r="G5" s="22" t="n">
        <v>46298</v>
      </c>
      <c r="H5" s="21" t="inlineStr">
        <is>
          <t>EJEMPLO: borra esta fila</t>
        </is>
      </c>
      <c r="J5" s="21" t="inlineStr">
        <is>
          <t>Mazda3</t>
        </is>
      </c>
      <c r="K5" s="15">
        <f>IF(J5="","",COUNTIF($A$5:$A$204,J5))</f>
        <v/>
      </c>
      <c r="L5" s="12">
        <f>IF(OR(J5="",K5=0),"",AVERAGEIF($A$5:$A$204,J5,$E$5:$E$204))</f>
        <v/>
      </c>
      <c r="M5" s="12">
        <f>IF(OR(J5="",K5=0),"",_xlfn.MINIFS($E$5:$E$204,$A$5:$A$204,J5))</f>
        <v/>
      </c>
      <c r="N5" s="12">
        <f>IF(OR(J5="",K5=0),"",_xlfn.MAXIFS($E$5:$E$204,$A$5:$A$204,J5))</f>
        <v/>
      </c>
      <c r="O5" s="12">
        <f>IF(L5="","",L5*(1-$K$17))</f>
        <v/>
      </c>
    </row>
    <row r="6">
      <c r="A6" s="21" t="n"/>
      <c r="B6" s="21" t="n"/>
      <c r="C6" s="26" t="n"/>
      <c r="D6" s="21" t="n"/>
      <c r="E6" s="5" t="n"/>
      <c r="F6" s="21" t="n"/>
      <c r="G6" s="22" t="n"/>
      <c r="H6" s="21" t="n"/>
      <c r="J6" s="21" t="inlineStr">
        <is>
          <t>Toyota Yaris</t>
        </is>
      </c>
      <c r="K6" s="15">
        <f>IF(J6="","",COUNTIF($A$5:$A$204,J6))</f>
        <v/>
      </c>
      <c r="L6" s="12">
        <f>IF(OR(J6="",K6=0),"",AVERAGEIF($A$5:$A$204,J6,$E$5:$E$204))</f>
        <v/>
      </c>
      <c r="M6" s="12">
        <f>IF(OR(J6="",K6=0),"",_xlfn.MINIFS($E$5:$E$204,$A$5:$A$204,J6))</f>
        <v/>
      </c>
      <c r="N6" s="12">
        <f>IF(OR(J6="",K6=0),"",_xlfn.MAXIFS($E$5:$E$204,$A$5:$A$204,J6))</f>
        <v/>
      </c>
      <c r="O6" s="12">
        <f>IF(L6="","",L6*(1-$K$17))</f>
        <v/>
      </c>
    </row>
    <row r="7">
      <c r="A7" s="21" t="n"/>
      <c r="B7" s="21" t="n"/>
      <c r="C7" s="26" t="n"/>
      <c r="D7" s="21" t="n"/>
      <c r="E7" s="5" t="n"/>
      <c r="F7" s="21" t="n"/>
      <c r="G7" s="22" t="n"/>
      <c r="H7" s="21" t="n"/>
      <c r="J7" s="21" t="inlineStr">
        <is>
          <t>Toyota Corolla</t>
        </is>
      </c>
      <c r="K7" s="15">
        <f>IF(J7="","",COUNTIF($A$5:$A$204,J7))</f>
        <v/>
      </c>
      <c r="L7" s="12">
        <f>IF(OR(J7="",K7=0),"",AVERAGEIF($A$5:$A$204,J7,$E$5:$E$204))</f>
        <v/>
      </c>
      <c r="M7" s="12">
        <f>IF(OR(J7="",K7=0),"",_xlfn.MINIFS($E$5:$E$204,$A$5:$A$204,J7))</f>
        <v/>
      </c>
      <c r="N7" s="12">
        <f>IF(OR(J7="",K7=0),"",_xlfn.MAXIFS($E$5:$E$204,$A$5:$A$204,J7))</f>
        <v/>
      </c>
      <c r="O7" s="12">
        <f>IF(L7="","",L7*(1-$K$17))</f>
        <v/>
      </c>
    </row>
    <row r="8">
      <c r="A8" s="21" t="n"/>
      <c r="B8" s="21" t="n"/>
      <c r="C8" s="26" t="n"/>
      <c r="D8" s="21" t="n"/>
      <c r="E8" s="5" t="n"/>
      <c r="F8" s="21" t="n"/>
      <c r="G8" s="22" t="n"/>
      <c r="H8" s="21" t="n"/>
      <c r="J8" s="21" t="inlineStr">
        <is>
          <t>Honda Civic</t>
        </is>
      </c>
      <c r="K8" s="15">
        <f>IF(J8="","",COUNTIF($A$5:$A$204,J8))</f>
        <v/>
      </c>
      <c r="L8" s="12">
        <f>IF(OR(J8="",K8=0),"",AVERAGEIF($A$5:$A$204,J8,$E$5:$E$204))</f>
        <v/>
      </c>
      <c r="M8" s="12">
        <f>IF(OR(J8="",K8=0),"",_xlfn.MINIFS($E$5:$E$204,$A$5:$A$204,J8))</f>
        <v/>
      </c>
      <c r="N8" s="12">
        <f>IF(OR(J8="",K8=0),"",_xlfn.MAXIFS($E$5:$E$204,$A$5:$A$204,J8))</f>
        <v/>
      </c>
      <c r="O8" s="12">
        <f>IF(L8="","",L8*(1-$K$17))</f>
        <v/>
      </c>
    </row>
    <row r="9">
      <c r="A9" s="21" t="n"/>
      <c r="B9" s="21" t="n"/>
      <c r="C9" s="26" t="n"/>
      <c r="D9" s="21" t="n"/>
      <c r="E9" s="5" t="n"/>
      <c r="F9" s="21" t="n"/>
      <c r="G9" s="22" t="n"/>
      <c r="H9" s="21" t="n"/>
      <c r="J9" s="21" t="inlineStr">
        <is>
          <t>Honda Fit</t>
        </is>
      </c>
      <c r="K9" s="15">
        <f>IF(J9="","",COUNTIF($A$5:$A$204,J9))</f>
        <v/>
      </c>
      <c r="L9" s="12">
        <f>IF(OR(J9="",K9=0),"",AVERAGEIF($A$5:$A$204,J9,$E$5:$E$204))</f>
        <v/>
      </c>
      <c r="M9" s="12">
        <f>IF(OR(J9="",K9=0),"",_xlfn.MINIFS($E$5:$E$204,$A$5:$A$204,J9))</f>
        <v/>
      </c>
      <c r="N9" s="12">
        <f>IF(OR(J9="",K9=0),"",_xlfn.MAXIFS($E$5:$E$204,$A$5:$A$204,J9))</f>
        <v/>
      </c>
      <c r="O9" s="12">
        <f>IF(L9="","",L9*(1-$K$17))</f>
        <v/>
      </c>
    </row>
    <row r="10">
      <c r="A10" s="21" t="n"/>
      <c r="B10" s="21" t="n"/>
      <c r="C10" s="26" t="n"/>
      <c r="D10" s="21" t="n"/>
      <c r="E10" s="5" t="n"/>
      <c r="F10" s="21" t="n"/>
      <c r="G10" s="22" t="n"/>
      <c r="H10" s="21" t="n"/>
      <c r="J10" s="21" t="n"/>
      <c r="K10" s="15">
        <f>IF(J10="","",COUNTIF($A$5:$A$204,J10))</f>
        <v/>
      </c>
      <c r="L10" s="12">
        <f>IF(OR(J10="",K10=0),"",AVERAGEIF($A$5:$A$204,J10,$E$5:$E$204))</f>
        <v/>
      </c>
      <c r="M10" s="12">
        <f>IF(OR(J10="",K10=0),"",_xlfn.MINIFS($E$5:$E$204,$A$5:$A$204,J10))</f>
        <v/>
      </c>
      <c r="N10" s="12">
        <f>IF(OR(J10="",K10=0),"",_xlfn.MAXIFS($E$5:$E$204,$A$5:$A$204,J10))</f>
        <v/>
      </c>
      <c r="O10" s="12">
        <f>IF(L10="","",L10*(1-$K$17))</f>
        <v/>
      </c>
    </row>
    <row r="11">
      <c r="A11" s="21" t="n"/>
      <c r="B11" s="21" t="n"/>
      <c r="C11" s="26" t="n"/>
      <c r="D11" s="21" t="n"/>
      <c r="E11" s="5" t="n"/>
      <c r="F11" s="21" t="n"/>
      <c r="G11" s="22" t="n"/>
      <c r="H11" s="21" t="n"/>
      <c r="J11" s="21" t="n"/>
      <c r="K11" s="15">
        <f>IF(J11="","",COUNTIF($A$5:$A$204,J11))</f>
        <v/>
      </c>
      <c r="L11" s="12">
        <f>IF(OR(J11="",K11=0),"",AVERAGEIF($A$5:$A$204,J11,$E$5:$E$204))</f>
        <v/>
      </c>
      <c r="M11" s="12">
        <f>IF(OR(J11="",K11=0),"",_xlfn.MINIFS($E$5:$E$204,$A$5:$A$204,J11))</f>
        <v/>
      </c>
      <c r="N11" s="12">
        <f>IF(OR(J11="",K11=0),"",_xlfn.MAXIFS($E$5:$E$204,$A$5:$A$204,J11))</f>
        <v/>
      </c>
      <c r="O11" s="12">
        <f>IF(L11="","",L11*(1-$K$17))</f>
        <v/>
      </c>
    </row>
    <row r="12">
      <c r="A12" s="21" t="n"/>
      <c r="B12" s="21" t="n"/>
      <c r="C12" s="26" t="n"/>
      <c r="D12" s="21" t="n"/>
      <c r="E12" s="5" t="n"/>
      <c r="F12" s="21" t="n"/>
      <c r="G12" s="22" t="n"/>
      <c r="H12" s="21" t="n"/>
      <c r="J12" s="21" t="n"/>
      <c r="K12" s="15">
        <f>IF(J12="","",COUNTIF($A$5:$A$204,J12))</f>
        <v/>
      </c>
      <c r="L12" s="12">
        <f>IF(OR(J12="",K12=0),"",AVERAGEIF($A$5:$A$204,J12,$E$5:$E$204))</f>
        <v/>
      </c>
      <c r="M12" s="12">
        <f>IF(OR(J12="",K12=0),"",_xlfn.MINIFS($E$5:$E$204,$A$5:$A$204,J12))</f>
        <v/>
      </c>
      <c r="N12" s="12">
        <f>IF(OR(J12="",K12=0),"",_xlfn.MAXIFS($E$5:$E$204,$A$5:$A$204,J12))</f>
        <v/>
      </c>
      <c r="O12" s="12">
        <f>IF(L12="","",L12*(1-$K$17))</f>
        <v/>
      </c>
    </row>
    <row r="13">
      <c r="A13" s="21" t="n"/>
      <c r="B13" s="21" t="n"/>
      <c r="C13" s="26" t="n"/>
      <c r="D13" s="21" t="n"/>
      <c r="E13" s="5" t="n"/>
      <c r="F13" s="21" t="n"/>
      <c r="G13" s="22" t="n"/>
      <c r="H13" s="21" t="n"/>
      <c r="J13" s="21" t="n"/>
      <c r="K13" s="15">
        <f>IF(J13="","",COUNTIF($A$5:$A$204,J13))</f>
        <v/>
      </c>
      <c r="L13" s="12">
        <f>IF(OR(J13="",K13=0),"",AVERAGEIF($A$5:$A$204,J13,$E$5:$E$204))</f>
        <v/>
      </c>
      <c r="M13" s="12">
        <f>IF(OR(J13="",K13=0),"",_xlfn.MINIFS($E$5:$E$204,$A$5:$A$204,J13))</f>
        <v/>
      </c>
      <c r="N13" s="12">
        <f>IF(OR(J13="",K13=0),"",_xlfn.MAXIFS($E$5:$E$204,$A$5:$A$204,J13))</f>
        <v/>
      </c>
      <c r="O13" s="12">
        <f>IF(L13="","",L13*(1-$K$17))</f>
        <v/>
      </c>
    </row>
    <row r="14">
      <c r="A14" s="21" t="n"/>
      <c r="B14" s="21" t="n"/>
      <c r="C14" s="26" t="n"/>
      <c r="D14" s="21" t="n"/>
      <c r="E14" s="5" t="n"/>
      <c r="F14" s="21" t="n"/>
      <c r="G14" s="22" t="n"/>
      <c r="H14" s="21" t="n"/>
      <c r="J14" s="21" t="n"/>
      <c r="K14" s="15">
        <f>IF(J14="","",COUNTIF($A$5:$A$204,J14))</f>
        <v/>
      </c>
      <c r="L14" s="12">
        <f>IF(OR(J14="",K14=0),"",AVERAGEIF($A$5:$A$204,J14,$E$5:$E$204))</f>
        <v/>
      </c>
      <c r="M14" s="12">
        <f>IF(OR(J14="",K14=0),"",_xlfn.MINIFS($E$5:$E$204,$A$5:$A$204,J14))</f>
        <v/>
      </c>
      <c r="N14" s="12">
        <f>IF(OR(J14="",K14=0),"",_xlfn.MAXIFS($E$5:$E$204,$A$5:$A$204,J14))</f>
        <v/>
      </c>
      <c r="O14" s="12">
        <f>IF(L14="","",L14*(1-$K$17))</f>
        <v/>
      </c>
    </row>
    <row r="15">
      <c r="A15" s="21" t="n"/>
      <c r="B15" s="21" t="n"/>
      <c r="C15" s="26" t="n"/>
      <c r="D15" s="21" t="n"/>
      <c r="E15" s="5" t="n"/>
      <c r="F15" s="21" t="n"/>
      <c r="G15" s="22" t="n"/>
      <c r="H15" s="21" t="n"/>
    </row>
    <row r="16">
      <c r="A16" s="21" t="n"/>
      <c r="B16" s="21" t="n"/>
      <c r="C16" s="26" t="n"/>
      <c r="D16" s="21" t="n"/>
      <c r="E16" s="5" t="n"/>
      <c r="F16" s="21" t="n"/>
      <c r="G16" s="22" t="n"/>
      <c r="H16" s="21" t="n"/>
    </row>
    <row r="17">
      <c r="A17" s="21" t="n"/>
      <c r="B17" s="21" t="n"/>
      <c r="C17" s="26" t="n"/>
      <c r="D17" s="21" t="n"/>
      <c r="E17" s="5" t="n"/>
      <c r="F17" s="21" t="n"/>
      <c r="G17" s="22" t="n"/>
      <c r="H17" s="21" t="n"/>
      <c r="J17" s="2" t="inlineStr">
        <is>
          <t>Descuento típico sobre precio pedido</t>
        </is>
      </c>
      <c r="K17" s="27" t="n">
        <v>0.1</v>
      </c>
    </row>
    <row r="18">
      <c r="A18" s="21" t="n"/>
      <c r="B18" s="21" t="n"/>
      <c r="C18" s="26" t="n"/>
      <c r="D18" s="21" t="n"/>
      <c r="E18" s="5" t="n"/>
      <c r="F18" s="21" t="n"/>
      <c r="G18" s="22" t="n"/>
      <c r="H18" s="21" t="n"/>
      <c r="J18" s="6" t="inlineStr">
        <is>
          <t>Usa 'Venta realista' como 'Precio de venta esperado' en la hoja Compra. Compara siempre el mismo año aproximado y km.</t>
        </is>
      </c>
    </row>
    <row r="19">
      <c r="A19" s="21" t="n"/>
      <c r="B19" s="21" t="n"/>
      <c r="C19" s="26" t="n"/>
      <c r="D19" s="21" t="n"/>
      <c r="E19" s="5" t="n"/>
      <c r="F19" s="21" t="n"/>
      <c r="G19" s="22" t="n"/>
      <c r="H19" s="21" t="n"/>
    </row>
    <row r="20">
      <c r="A20" s="21" t="n"/>
      <c r="B20" s="21" t="n"/>
      <c r="C20" s="26" t="n"/>
      <c r="D20" s="21" t="n"/>
      <c r="E20" s="5" t="n"/>
      <c r="F20" s="21" t="n"/>
      <c r="G20" s="22" t="n"/>
      <c r="H20" s="21" t="n"/>
    </row>
    <row r="21">
      <c r="A21" s="21" t="n"/>
      <c r="B21" s="21" t="n"/>
      <c r="C21" s="26" t="n"/>
      <c r="D21" s="21" t="n"/>
      <c r="E21" s="5" t="n"/>
      <c r="F21" s="21" t="n"/>
      <c r="G21" s="22" t="n"/>
      <c r="H21" s="21" t="n"/>
    </row>
    <row r="22">
      <c r="A22" s="21" t="n"/>
      <c r="B22" s="21" t="n"/>
      <c r="C22" s="26" t="n"/>
      <c r="D22" s="21" t="n"/>
      <c r="E22" s="5" t="n"/>
      <c r="F22" s="21" t="n"/>
      <c r="G22" s="22" t="n"/>
      <c r="H22" s="21" t="n"/>
    </row>
    <row r="23">
      <c r="A23" s="21" t="n"/>
      <c r="B23" s="21" t="n"/>
      <c r="C23" s="26" t="n"/>
      <c r="D23" s="21" t="n"/>
      <c r="E23" s="5" t="n"/>
      <c r="F23" s="21" t="n"/>
      <c r="G23" s="22" t="n"/>
      <c r="H23" s="21" t="n"/>
    </row>
    <row r="24">
      <c r="A24" s="21" t="n"/>
      <c r="B24" s="21" t="n"/>
      <c r="C24" s="26" t="n"/>
      <c r="D24" s="21" t="n"/>
      <c r="E24" s="5" t="n"/>
      <c r="F24" s="21" t="n"/>
      <c r="G24" s="22" t="n"/>
      <c r="H24" s="21" t="n"/>
    </row>
    <row r="25">
      <c r="A25" s="21" t="n"/>
      <c r="B25" s="21" t="n"/>
      <c r="C25" s="26" t="n"/>
      <c r="D25" s="21" t="n"/>
      <c r="E25" s="5" t="n"/>
      <c r="F25" s="21" t="n"/>
      <c r="G25" s="22" t="n"/>
      <c r="H25" s="21" t="n"/>
    </row>
    <row r="26">
      <c r="A26" s="21" t="n"/>
      <c r="B26" s="21" t="n"/>
      <c r="C26" s="26" t="n"/>
      <c r="D26" s="21" t="n"/>
      <c r="E26" s="5" t="n"/>
      <c r="F26" s="21" t="n"/>
      <c r="G26" s="22" t="n"/>
      <c r="H26" s="21" t="n"/>
    </row>
    <row r="27">
      <c r="A27" s="21" t="n"/>
      <c r="B27" s="21" t="n"/>
      <c r="C27" s="26" t="n"/>
      <c r="D27" s="21" t="n"/>
      <c r="E27" s="5" t="n"/>
      <c r="F27" s="21" t="n"/>
      <c r="G27" s="22" t="n"/>
      <c r="H27" s="21" t="n"/>
    </row>
    <row r="28">
      <c r="A28" s="21" t="n"/>
      <c r="B28" s="21" t="n"/>
      <c r="C28" s="26" t="n"/>
      <c r="D28" s="21" t="n"/>
      <c r="E28" s="5" t="n"/>
      <c r="F28" s="21" t="n"/>
      <c r="G28" s="22" t="n"/>
      <c r="H28" s="21" t="n"/>
    </row>
    <row r="29">
      <c r="A29" s="21" t="n"/>
      <c r="B29" s="21" t="n"/>
      <c r="C29" s="26" t="n"/>
      <c r="D29" s="21" t="n"/>
      <c r="E29" s="5" t="n"/>
      <c r="F29" s="21" t="n"/>
      <c r="G29" s="22" t="n"/>
      <c r="H29" s="21" t="n"/>
    </row>
    <row r="30">
      <c r="A30" s="21" t="n"/>
      <c r="B30" s="21" t="n"/>
      <c r="C30" s="26" t="n"/>
      <c r="D30" s="21" t="n"/>
      <c r="E30" s="5" t="n"/>
      <c r="F30" s="21" t="n"/>
      <c r="G30" s="22" t="n"/>
      <c r="H30" s="21" t="n"/>
    </row>
    <row r="31">
      <c r="A31" s="21" t="n"/>
      <c r="B31" s="21" t="n"/>
      <c r="C31" s="26" t="n"/>
      <c r="D31" s="21" t="n"/>
      <c r="E31" s="5" t="n"/>
      <c r="F31" s="21" t="n"/>
      <c r="G31" s="22" t="n"/>
      <c r="H31" s="21" t="n"/>
    </row>
    <row r="32">
      <c r="A32" s="21" t="n"/>
      <c r="B32" s="21" t="n"/>
      <c r="C32" s="26" t="n"/>
      <c r="D32" s="21" t="n"/>
      <c r="E32" s="5" t="n"/>
      <c r="F32" s="21" t="n"/>
      <c r="G32" s="22" t="n"/>
      <c r="H32" s="21" t="n"/>
    </row>
    <row r="33">
      <c r="A33" s="21" t="n"/>
      <c r="B33" s="21" t="n"/>
      <c r="C33" s="26" t="n"/>
      <c r="D33" s="21" t="n"/>
      <c r="E33" s="5" t="n"/>
      <c r="F33" s="21" t="n"/>
      <c r="G33" s="22" t="n"/>
      <c r="H33" s="21" t="n"/>
    </row>
    <row r="34">
      <c r="A34" s="21" t="n"/>
      <c r="B34" s="21" t="n"/>
      <c r="C34" s="26" t="n"/>
      <c r="D34" s="21" t="n"/>
      <c r="E34" s="5" t="n"/>
      <c r="F34" s="21" t="n"/>
      <c r="G34" s="22" t="n"/>
      <c r="H34" s="21" t="n"/>
    </row>
    <row r="35">
      <c r="A35" s="21" t="n"/>
      <c r="B35" s="21" t="n"/>
      <c r="C35" s="26" t="n"/>
      <c r="D35" s="21" t="n"/>
      <c r="E35" s="5" t="n"/>
      <c r="F35" s="21" t="n"/>
      <c r="G35" s="22" t="n"/>
      <c r="H35" s="21" t="n"/>
    </row>
    <row r="36">
      <c r="A36" s="21" t="n"/>
      <c r="B36" s="21" t="n"/>
      <c r="C36" s="26" t="n"/>
      <c r="D36" s="21" t="n"/>
      <c r="E36" s="5" t="n"/>
      <c r="F36" s="21" t="n"/>
      <c r="G36" s="22" t="n"/>
      <c r="H36" s="21" t="n"/>
    </row>
    <row r="37">
      <c r="A37" s="21" t="n"/>
      <c r="B37" s="21" t="n"/>
      <c r="C37" s="26" t="n"/>
      <c r="D37" s="21" t="n"/>
      <c r="E37" s="5" t="n"/>
      <c r="F37" s="21" t="n"/>
      <c r="G37" s="22" t="n"/>
      <c r="H37" s="21" t="n"/>
    </row>
    <row r="38">
      <c r="A38" s="21" t="n"/>
      <c r="B38" s="21" t="n"/>
      <c r="C38" s="26" t="n"/>
      <c r="D38" s="21" t="n"/>
      <c r="E38" s="5" t="n"/>
      <c r="F38" s="21" t="n"/>
      <c r="G38" s="22" t="n"/>
      <c r="H38" s="21" t="n"/>
    </row>
    <row r="39">
      <c r="A39" s="21" t="n"/>
      <c r="B39" s="21" t="n"/>
      <c r="C39" s="26" t="n"/>
      <c r="D39" s="21" t="n"/>
      <c r="E39" s="5" t="n"/>
      <c r="F39" s="21" t="n"/>
      <c r="G39" s="22" t="n"/>
      <c r="H39" s="21" t="n"/>
    </row>
    <row r="40">
      <c r="A40" s="21" t="n"/>
      <c r="B40" s="21" t="n"/>
      <c r="C40" s="26" t="n"/>
      <c r="D40" s="21" t="n"/>
      <c r="E40" s="5" t="n"/>
      <c r="F40" s="21" t="n"/>
      <c r="G40" s="22" t="n"/>
      <c r="H40" s="21" t="n"/>
    </row>
    <row r="41">
      <c r="A41" s="21" t="n"/>
      <c r="B41" s="21" t="n"/>
      <c r="C41" s="26" t="n"/>
      <c r="D41" s="21" t="n"/>
      <c r="E41" s="5" t="n"/>
      <c r="F41" s="21" t="n"/>
      <c r="G41" s="22" t="n"/>
      <c r="H41" s="21" t="n"/>
    </row>
    <row r="42">
      <c r="A42" s="21" t="n"/>
      <c r="B42" s="21" t="n"/>
      <c r="C42" s="26" t="n"/>
      <c r="D42" s="21" t="n"/>
      <c r="E42" s="5" t="n"/>
      <c r="F42" s="21" t="n"/>
      <c r="G42" s="22" t="n"/>
      <c r="H42" s="21" t="n"/>
    </row>
    <row r="43">
      <c r="A43" s="21" t="n"/>
      <c r="B43" s="21" t="n"/>
      <c r="C43" s="26" t="n"/>
      <c r="D43" s="21" t="n"/>
      <c r="E43" s="5" t="n"/>
      <c r="F43" s="21" t="n"/>
      <c r="G43" s="22" t="n"/>
      <c r="H43" s="21" t="n"/>
    </row>
    <row r="44">
      <c r="A44" s="21" t="n"/>
      <c r="B44" s="21" t="n"/>
      <c r="C44" s="26" t="n"/>
      <c r="D44" s="21" t="n"/>
      <c r="E44" s="5" t="n"/>
      <c r="F44" s="21" t="n"/>
      <c r="G44" s="22" t="n"/>
      <c r="H44" s="21" t="n"/>
    </row>
    <row r="45">
      <c r="A45" s="21" t="n"/>
      <c r="B45" s="21" t="n"/>
      <c r="C45" s="26" t="n"/>
      <c r="D45" s="21" t="n"/>
      <c r="E45" s="5" t="n"/>
      <c r="F45" s="21" t="n"/>
      <c r="G45" s="22" t="n"/>
      <c r="H45" s="21" t="n"/>
    </row>
    <row r="46">
      <c r="A46" s="21" t="n"/>
      <c r="B46" s="21" t="n"/>
      <c r="C46" s="26" t="n"/>
      <c r="D46" s="21" t="n"/>
      <c r="E46" s="5" t="n"/>
      <c r="F46" s="21" t="n"/>
      <c r="G46" s="22" t="n"/>
      <c r="H46" s="21" t="n"/>
    </row>
    <row r="47">
      <c r="A47" s="21" t="n"/>
      <c r="B47" s="21" t="n"/>
      <c r="C47" s="26" t="n"/>
      <c r="D47" s="21" t="n"/>
      <c r="E47" s="5" t="n"/>
      <c r="F47" s="21" t="n"/>
      <c r="G47" s="22" t="n"/>
      <c r="H47" s="21" t="n"/>
    </row>
    <row r="48">
      <c r="A48" s="21" t="n"/>
      <c r="B48" s="21" t="n"/>
      <c r="C48" s="26" t="n"/>
      <c r="D48" s="21" t="n"/>
      <c r="E48" s="5" t="n"/>
      <c r="F48" s="21" t="n"/>
      <c r="G48" s="22" t="n"/>
      <c r="H48" s="21" t="n"/>
    </row>
    <row r="49">
      <c r="A49" s="21" t="n"/>
      <c r="B49" s="21" t="n"/>
      <c r="C49" s="26" t="n"/>
      <c r="D49" s="21" t="n"/>
      <c r="E49" s="5" t="n"/>
      <c r="F49" s="21" t="n"/>
      <c r="G49" s="22" t="n"/>
      <c r="H49" s="21" t="n"/>
    </row>
    <row r="50">
      <c r="A50" s="21" t="n"/>
      <c r="B50" s="21" t="n"/>
      <c r="C50" s="26" t="n"/>
      <c r="D50" s="21" t="n"/>
      <c r="E50" s="5" t="n"/>
      <c r="F50" s="21" t="n"/>
      <c r="G50" s="22" t="n"/>
      <c r="H50" s="21" t="n"/>
    </row>
    <row r="51">
      <c r="A51" s="21" t="n"/>
      <c r="B51" s="21" t="n"/>
      <c r="C51" s="26" t="n"/>
      <c r="D51" s="21" t="n"/>
      <c r="E51" s="5" t="n"/>
      <c r="F51" s="21" t="n"/>
      <c r="G51" s="22" t="n"/>
      <c r="H51" s="21" t="n"/>
    </row>
    <row r="52">
      <c r="A52" s="21" t="n"/>
      <c r="B52" s="21" t="n"/>
      <c r="C52" s="26" t="n"/>
      <c r="D52" s="21" t="n"/>
      <c r="E52" s="5" t="n"/>
      <c r="F52" s="21" t="n"/>
      <c r="G52" s="22" t="n"/>
      <c r="H52" s="21" t="n"/>
    </row>
    <row r="53">
      <c r="A53" s="21" t="n"/>
      <c r="B53" s="21" t="n"/>
      <c r="C53" s="26" t="n"/>
      <c r="D53" s="21" t="n"/>
      <c r="E53" s="5" t="n"/>
      <c r="F53" s="21" t="n"/>
      <c r="G53" s="22" t="n"/>
      <c r="H53" s="21" t="n"/>
    </row>
    <row r="54">
      <c r="A54" s="21" t="n"/>
      <c r="B54" s="21" t="n"/>
      <c r="C54" s="26" t="n"/>
      <c r="D54" s="21" t="n"/>
      <c r="E54" s="5" t="n"/>
      <c r="F54" s="21" t="n"/>
      <c r="G54" s="22" t="n"/>
      <c r="H54" s="21" t="n"/>
    </row>
    <row r="55">
      <c r="A55" s="21" t="n"/>
      <c r="B55" s="21" t="n"/>
      <c r="C55" s="26" t="n"/>
      <c r="D55" s="21" t="n"/>
      <c r="E55" s="5" t="n"/>
      <c r="F55" s="21" t="n"/>
      <c r="G55" s="22" t="n"/>
      <c r="H55" s="21" t="n"/>
    </row>
    <row r="56">
      <c r="A56" s="21" t="n"/>
      <c r="B56" s="21" t="n"/>
      <c r="C56" s="26" t="n"/>
      <c r="D56" s="21" t="n"/>
      <c r="E56" s="5" t="n"/>
      <c r="F56" s="21" t="n"/>
      <c r="G56" s="22" t="n"/>
      <c r="H56" s="21" t="n"/>
    </row>
    <row r="57">
      <c r="A57" s="21" t="n"/>
      <c r="B57" s="21" t="n"/>
      <c r="C57" s="26" t="n"/>
      <c r="D57" s="21" t="n"/>
      <c r="E57" s="5" t="n"/>
      <c r="F57" s="21" t="n"/>
      <c r="G57" s="22" t="n"/>
      <c r="H57" s="21" t="n"/>
    </row>
    <row r="58">
      <c r="A58" s="21" t="n"/>
      <c r="B58" s="21" t="n"/>
      <c r="C58" s="26" t="n"/>
      <c r="D58" s="21" t="n"/>
      <c r="E58" s="5" t="n"/>
      <c r="F58" s="21" t="n"/>
      <c r="G58" s="22" t="n"/>
      <c r="H58" s="21" t="n"/>
    </row>
    <row r="59">
      <c r="A59" s="21" t="n"/>
      <c r="B59" s="21" t="n"/>
      <c r="C59" s="26" t="n"/>
      <c r="D59" s="21" t="n"/>
      <c r="E59" s="5" t="n"/>
      <c r="F59" s="21" t="n"/>
      <c r="G59" s="22" t="n"/>
      <c r="H59" s="21" t="n"/>
    </row>
    <row r="60">
      <c r="A60" s="21" t="n"/>
      <c r="B60" s="21" t="n"/>
      <c r="C60" s="26" t="n"/>
      <c r="D60" s="21" t="n"/>
      <c r="E60" s="5" t="n"/>
      <c r="F60" s="21" t="n"/>
      <c r="G60" s="22" t="n"/>
      <c r="H60" s="21" t="n"/>
    </row>
    <row r="61">
      <c r="A61" s="21" t="n"/>
      <c r="B61" s="21" t="n"/>
      <c r="C61" s="26" t="n"/>
      <c r="D61" s="21" t="n"/>
      <c r="E61" s="5" t="n"/>
      <c r="F61" s="21" t="n"/>
      <c r="G61" s="22" t="n"/>
      <c r="H61" s="21" t="n"/>
    </row>
    <row r="62">
      <c r="A62" s="21" t="n"/>
      <c r="B62" s="21" t="n"/>
      <c r="C62" s="26" t="n"/>
      <c r="D62" s="21" t="n"/>
      <c r="E62" s="5" t="n"/>
      <c r="F62" s="21" t="n"/>
      <c r="G62" s="22" t="n"/>
      <c r="H62" s="21" t="n"/>
    </row>
    <row r="63">
      <c r="A63" s="21" t="n"/>
      <c r="B63" s="21" t="n"/>
      <c r="C63" s="26" t="n"/>
      <c r="D63" s="21" t="n"/>
      <c r="E63" s="5" t="n"/>
      <c r="F63" s="21" t="n"/>
      <c r="G63" s="22" t="n"/>
      <c r="H63" s="21" t="n"/>
    </row>
    <row r="64">
      <c r="A64" s="21" t="n"/>
      <c r="B64" s="21" t="n"/>
      <c r="C64" s="26" t="n"/>
      <c r="D64" s="21" t="n"/>
      <c r="E64" s="5" t="n"/>
      <c r="F64" s="21" t="n"/>
      <c r="G64" s="22" t="n"/>
      <c r="H64" s="21" t="n"/>
    </row>
    <row r="65">
      <c r="A65" s="21" t="n"/>
      <c r="B65" s="21" t="n"/>
      <c r="C65" s="26" t="n"/>
      <c r="D65" s="21" t="n"/>
      <c r="E65" s="5" t="n"/>
      <c r="F65" s="21" t="n"/>
      <c r="G65" s="22" t="n"/>
      <c r="H65" s="21" t="n"/>
    </row>
    <row r="66">
      <c r="A66" s="21" t="n"/>
      <c r="B66" s="21" t="n"/>
      <c r="C66" s="26" t="n"/>
      <c r="D66" s="21" t="n"/>
      <c r="E66" s="5" t="n"/>
      <c r="F66" s="21" t="n"/>
      <c r="G66" s="22" t="n"/>
      <c r="H66" s="21" t="n"/>
    </row>
    <row r="67">
      <c r="A67" s="21" t="n"/>
      <c r="B67" s="21" t="n"/>
      <c r="C67" s="26" t="n"/>
      <c r="D67" s="21" t="n"/>
      <c r="E67" s="5" t="n"/>
      <c r="F67" s="21" t="n"/>
      <c r="G67" s="22" t="n"/>
      <c r="H67" s="21" t="n"/>
    </row>
    <row r="68">
      <c r="A68" s="21" t="n"/>
      <c r="B68" s="21" t="n"/>
      <c r="C68" s="26" t="n"/>
      <c r="D68" s="21" t="n"/>
      <c r="E68" s="5" t="n"/>
      <c r="F68" s="21" t="n"/>
      <c r="G68" s="22" t="n"/>
      <c r="H68" s="21" t="n"/>
    </row>
    <row r="69">
      <c r="A69" s="21" t="n"/>
      <c r="B69" s="21" t="n"/>
      <c r="C69" s="26" t="n"/>
      <c r="D69" s="21" t="n"/>
      <c r="E69" s="5" t="n"/>
      <c r="F69" s="21" t="n"/>
      <c r="G69" s="22" t="n"/>
      <c r="H69" s="21" t="n"/>
    </row>
    <row r="70">
      <c r="A70" s="21" t="n"/>
      <c r="B70" s="21" t="n"/>
      <c r="C70" s="26" t="n"/>
      <c r="D70" s="21" t="n"/>
      <c r="E70" s="5" t="n"/>
      <c r="F70" s="21" t="n"/>
      <c r="G70" s="22" t="n"/>
      <c r="H70" s="21" t="n"/>
    </row>
    <row r="71">
      <c r="A71" s="21" t="n"/>
      <c r="B71" s="21" t="n"/>
      <c r="C71" s="26" t="n"/>
      <c r="D71" s="21" t="n"/>
      <c r="E71" s="5" t="n"/>
      <c r="F71" s="21" t="n"/>
      <c r="G71" s="22" t="n"/>
      <c r="H71" s="21" t="n"/>
    </row>
    <row r="72">
      <c r="A72" s="21" t="n"/>
      <c r="B72" s="21" t="n"/>
      <c r="C72" s="26" t="n"/>
      <c r="D72" s="21" t="n"/>
      <c r="E72" s="5" t="n"/>
      <c r="F72" s="21" t="n"/>
      <c r="G72" s="22" t="n"/>
      <c r="H72" s="21" t="n"/>
    </row>
    <row r="73">
      <c r="A73" s="21" t="n"/>
      <c r="B73" s="21" t="n"/>
      <c r="C73" s="26" t="n"/>
      <c r="D73" s="21" t="n"/>
      <c r="E73" s="5" t="n"/>
      <c r="F73" s="21" t="n"/>
      <c r="G73" s="22" t="n"/>
      <c r="H73" s="21" t="n"/>
    </row>
    <row r="74">
      <c r="A74" s="21" t="n"/>
      <c r="B74" s="21" t="n"/>
      <c r="C74" s="26" t="n"/>
      <c r="D74" s="21" t="n"/>
      <c r="E74" s="5" t="n"/>
      <c r="F74" s="21" t="n"/>
      <c r="G74" s="22" t="n"/>
      <c r="H74" s="21" t="n"/>
    </row>
    <row r="75">
      <c r="A75" s="21" t="n"/>
      <c r="B75" s="21" t="n"/>
      <c r="C75" s="26" t="n"/>
      <c r="D75" s="21" t="n"/>
      <c r="E75" s="5" t="n"/>
      <c r="F75" s="21" t="n"/>
      <c r="G75" s="22" t="n"/>
      <c r="H75" s="21" t="n"/>
    </row>
    <row r="76">
      <c r="A76" s="21" t="n"/>
      <c r="B76" s="21" t="n"/>
      <c r="C76" s="26" t="n"/>
      <c r="D76" s="21" t="n"/>
      <c r="E76" s="5" t="n"/>
      <c r="F76" s="21" t="n"/>
      <c r="G76" s="22" t="n"/>
      <c r="H76" s="21" t="n"/>
    </row>
    <row r="77">
      <c r="A77" s="21" t="n"/>
      <c r="B77" s="21" t="n"/>
      <c r="C77" s="26" t="n"/>
      <c r="D77" s="21" t="n"/>
      <c r="E77" s="5" t="n"/>
      <c r="F77" s="21" t="n"/>
      <c r="G77" s="22" t="n"/>
      <c r="H77" s="21" t="n"/>
    </row>
    <row r="78">
      <c r="A78" s="21" t="n"/>
      <c r="B78" s="21" t="n"/>
      <c r="C78" s="26" t="n"/>
      <c r="D78" s="21" t="n"/>
      <c r="E78" s="5" t="n"/>
      <c r="F78" s="21" t="n"/>
      <c r="G78" s="22" t="n"/>
      <c r="H78" s="21" t="n"/>
    </row>
    <row r="79">
      <c r="A79" s="21" t="n"/>
      <c r="B79" s="21" t="n"/>
      <c r="C79" s="26" t="n"/>
      <c r="D79" s="21" t="n"/>
      <c r="E79" s="5" t="n"/>
      <c r="F79" s="21" t="n"/>
      <c r="G79" s="22" t="n"/>
      <c r="H79" s="21" t="n"/>
    </row>
    <row r="80">
      <c r="A80" s="21" t="n"/>
      <c r="B80" s="21" t="n"/>
      <c r="C80" s="26" t="n"/>
      <c r="D80" s="21" t="n"/>
      <c r="E80" s="5" t="n"/>
      <c r="F80" s="21" t="n"/>
      <c r="G80" s="22" t="n"/>
      <c r="H80" s="21" t="n"/>
    </row>
    <row r="81">
      <c r="A81" s="21" t="n"/>
      <c r="B81" s="21" t="n"/>
      <c r="C81" s="26" t="n"/>
      <c r="D81" s="21" t="n"/>
      <c r="E81" s="5" t="n"/>
      <c r="F81" s="21" t="n"/>
      <c r="G81" s="22" t="n"/>
      <c r="H81" s="21" t="n"/>
    </row>
    <row r="82">
      <c r="A82" s="21" t="n"/>
      <c r="B82" s="21" t="n"/>
      <c r="C82" s="26" t="n"/>
      <c r="D82" s="21" t="n"/>
      <c r="E82" s="5" t="n"/>
      <c r="F82" s="21" t="n"/>
      <c r="G82" s="22" t="n"/>
      <c r="H82" s="21" t="n"/>
    </row>
    <row r="83">
      <c r="A83" s="21" t="n"/>
      <c r="B83" s="21" t="n"/>
      <c r="C83" s="26" t="n"/>
      <c r="D83" s="21" t="n"/>
      <c r="E83" s="5" t="n"/>
      <c r="F83" s="21" t="n"/>
      <c r="G83" s="22" t="n"/>
      <c r="H83" s="21" t="n"/>
    </row>
    <row r="84">
      <c r="A84" s="21" t="n"/>
      <c r="B84" s="21" t="n"/>
      <c r="C84" s="26" t="n"/>
      <c r="D84" s="21" t="n"/>
      <c r="E84" s="5" t="n"/>
      <c r="F84" s="21" t="n"/>
      <c r="G84" s="22" t="n"/>
      <c r="H84" s="21" t="n"/>
    </row>
    <row r="85">
      <c r="A85" s="21" t="n"/>
      <c r="B85" s="21" t="n"/>
      <c r="C85" s="26" t="n"/>
      <c r="D85" s="21" t="n"/>
      <c r="E85" s="5" t="n"/>
      <c r="F85" s="21" t="n"/>
      <c r="G85" s="22" t="n"/>
      <c r="H85" s="21" t="n"/>
    </row>
    <row r="86">
      <c r="A86" s="21" t="n"/>
      <c r="B86" s="21" t="n"/>
      <c r="C86" s="26" t="n"/>
      <c r="D86" s="21" t="n"/>
      <c r="E86" s="5" t="n"/>
      <c r="F86" s="21" t="n"/>
      <c r="G86" s="22" t="n"/>
      <c r="H86" s="21" t="n"/>
    </row>
    <row r="87">
      <c r="A87" s="21" t="n"/>
      <c r="B87" s="21" t="n"/>
      <c r="C87" s="26" t="n"/>
      <c r="D87" s="21" t="n"/>
      <c r="E87" s="5" t="n"/>
      <c r="F87" s="21" t="n"/>
      <c r="G87" s="22" t="n"/>
      <c r="H87" s="21" t="n"/>
    </row>
    <row r="88">
      <c r="A88" s="21" t="n"/>
      <c r="B88" s="21" t="n"/>
      <c r="C88" s="26" t="n"/>
      <c r="D88" s="21" t="n"/>
      <c r="E88" s="5" t="n"/>
      <c r="F88" s="21" t="n"/>
      <c r="G88" s="22" t="n"/>
      <c r="H88" s="21" t="n"/>
    </row>
    <row r="89">
      <c r="A89" s="21" t="n"/>
      <c r="B89" s="21" t="n"/>
      <c r="C89" s="26" t="n"/>
      <c r="D89" s="21" t="n"/>
      <c r="E89" s="5" t="n"/>
      <c r="F89" s="21" t="n"/>
      <c r="G89" s="22" t="n"/>
      <c r="H89" s="21" t="n"/>
    </row>
    <row r="90">
      <c r="A90" s="21" t="n"/>
      <c r="B90" s="21" t="n"/>
      <c r="C90" s="26" t="n"/>
      <c r="D90" s="21" t="n"/>
      <c r="E90" s="5" t="n"/>
      <c r="F90" s="21" t="n"/>
      <c r="G90" s="22" t="n"/>
      <c r="H90" s="21" t="n"/>
    </row>
    <row r="91">
      <c r="A91" s="21" t="n"/>
      <c r="B91" s="21" t="n"/>
      <c r="C91" s="26" t="n"/>
      <c r="D91" s="21" t="n"/>
      <c r="E91" s="5" t="n"/>
      <c r="F91" s="21" t="n"/>
      <c r="G91" s="22" t="n"/>
      <c r="H91" s="21" t="n"/>
    </row>
    <row r="92">
      <c r="A92" s="21" t="n"/>
      <c r="B92" s="21" t="n"/>
      <c r="C92" s="26" t="n"/>
      <c r="D92" s="21" t="n"/>
      <c r="E92" s="5" t="n"/>
      <c r="F92" s="21" t="n"/>
      <c r="G92" s="22" t="n"/>
      <c r="H92" s="21" t="n"/>
    </row>
    <row r="93">
      <c r="A93" s="21" t="n"/>
      <c r="B93" s="21" t="n"/>
      <c r="C93" s="26" t="n"/>
      <c r="D93" s="21" t="n"/>
      <c r="E93" s="5" t="n"/>
      <c r="F93" s="21" t="n"/>
      <c r="G93" s="22" t="n"/>
      <c r="H93" s="21" t="n"/>
    </row>
    <row r="94">
      <c r="A94" s="21" t="n"/>
      <c r="B94" s="21" t="n"/>
      <c r="C94" s="26" t="n"/>
      <c r="D94" s="21" t="n"/>
      <c r="E94" s="5" t="n"/>
      <c r="F94" s="21" t="n"/>
      <c r="G94" s="22" t="n"/>
      <c r="H94" s="21" t="n"/>
    </row>
    <row r="95">
      <c r="A95" s="21" t="n"/>
      <c r="B95" s="21" t="n"/>
      <c r="C95" s="26" t="n"/>
      <c r="D95" s="21" t="n"/>
      <c r="E95" s="5" t="n"/>
      <c r="F95" s="21" t="n"/>
      <c r="G95" s="22" t="n"/>
      <c r="H95" s="21" t="n"/>
    </row>
    <row r="96">
      <c r="A96" s="21" t="n"/>
      <c r="B96" s="21" t="n"/>
      <c r="C96" s="26" t="n"/>
      <c r="D96" s="21" t="n"/>
      <c r="E96" s="5" t="n"/>
      <c r="F96" s="21" t="n"/>
      <c r="G96" s="22" t="n"/>
      <c r="H96" s="21" t="n"/>
    </row>
    <row r="97">
      <c r="A97" s="21" t="n"/>
      <c r="B97" s="21" t="n"/>
      <c r="C97" s="26" t="n"/>
      <c r="D97" s="21" t="n"/>
      <c r="E97" s="5" t="n"/>
      <c r="F97" s="21" t="n"/>
      <c r="G97" s="22" t="n"/>
      <c r="H97" s="21" t="n"/>
    </row>
    <row r="98">
      <c r="A98" s="21" t="n"/>
      <c r="B98" s="21" t="n"/>
      <c r="C98" s="26" t="n"/>
      <c r="D98" s="21" t="n"/>
      <c r="E98" s="5" t="n"/>
      <c r="F98" s="21" t="n"/>
      <c r="G98" s="22" t="n"/>
      <c r="H98" s="21" t="n"/>
    </row>
    <row r="99">
      <c r="A99" s="21" t="n"/>
      <c r="B99" s="21" t="n"/>
      <c r="C99" s="26" t="n"/>
      <c r="D99" s="21" t="n"/>
      <c r="E99" s="5" t="n"/>
      <c r="F99" s="21" t="n"/>
      <c r="G99" s="22" t="n"/>
      <c r="H99" s="21" t="n"/>
    </row>
    <row r="100">
      <c r="A100" s="21" t="n"/>
      <c r="B100" s="21" t="n"/>
      <c r="C100" s="26" t="n"/>
      <c r="D100" s="21" t="n"/>
      <c r="E100" s="5" t="n"/>
      <c r="F100" s="21" t="n"/>
      <c r="G100" s="22" t="n"/>
      <c r="H100" s="21" t="n"/>
    </row>
    <row r="101">
      <c r="A101" s="21" t="n"/>
      <c r="B101" s="21" t="n"/>
      <c r="C101" s="26" t="n"/>
      <c r="D101" s="21" t="n"/>
      <c r="E101" s="5" t="n"/>
      <c r="F101" s="21" t="n"/>
      <c r="G101" s="22" t="n"/>
      <c r="H101" s="21" t="n"/>
    </row>
    <row r="102">
      <c r="A102" s="21" t="n"/>
      <c r="B102" s="21" t="n"/>
      <c r="C102" s="26" t="n"/>
      <c r="D102" s="21" t="n"/>
      <c r="E102" s="5" t="n"/>
      <c r="F102" s="21" t="n"/>
      <c r="G102" s="22" t="n"/>
      <c r="H102" s="21" t="n"/>
    </row>
    <row r="103">
      <c r="A103" s="21" t="n"/>
      <c r="B103" s="21" t="n"/>
      <c r="C103" s="26" t="n"/>
      <c r="D103" s="21" t="n"/>
      <c r="E103" s="5" t="n"/>
      <c r="F103" s="21" t="n"/>
      <c r="G103" s="22" t="n"/>
      <c r="H103" s="21" t="n"/>
    </row>
    <row r="104">
      <c r="A104" s="21" t="n"/>
      <c r="B104" s="21" t="n"/>
      <c r="C104" s="26" t="n"/>
      <c r="D104" s="21" t="n"/>
      <c r="E104" s="5" t="n"/>
      <c r="F104" s="21" t="n"/>
      <c r="G104" s="22" t="n"/>
      <c r="H104" s="21" t="n"/>
    </row>
    <row r="105">
      <c r="A105" s="21" t="n"/>
      <c r="B105" s="21" t="n"/>
      <c r="C105" s="26" t="n"/>
      <c r="D105" s="21" t="n"/>
      <c r="E105" s="5" t="n"/>
      <c r="F105" s="21" t="n"/>
      <c r="G105" s="22" t="n"/>
      <c r="H105" s="21" t="n"/>
    </row>
    <row r="106">
      <c r="A106" s="21" t="n"/>
      <c r="B106" s="21" t="n"/>
      <c r="C106" s="26" t="n"/>
      <c r="D106" s="21" t="n"/>
      <c r="E106" s="5" t="n"/>
      <c r="F106" s="21" t="n"/>
      <c r="G106" s="22" t="n"/>
      <c r="H106" s="21" t="n"/>
    </row>
    <row r="107">
      <c r="A107" s="21" t="n"/>
      <c r="B107" s="21" t="n"/>
      <c r="C107" s="26" t="n"/>
      <c r="D107" s="21" t="n"/>
      <c r="E107" s="5" t="n"/>
      <c r="F107" s="21" t="n"/>
      <c r="G107" s="22" t="n"/>
      <c r="H107" s="21" t="n"/>
    </row>
    <row r="108">
      <c r="A108" s="21" t="n"/>
      <c r="B108" s="21" t="n"/>
      <c r="C108" s="26" t="n"/>
      <c r="D108" s="21" t="n"/>
      <c r="E108" s="5" t="n"/>
      <c r="F108" s="21" t="n"/>
      <c r="G108" s="22" t="n"/>
      <c r="H108" s="21" t="n"/>
    </row>
    <row r="109">
      <c r="A109" s="21" t="n"/>
      <c r="B109" s="21" t="n"/>
      <c r="C109" s="26" t="n"/>
      <c r="D109" s="21" t="n"/>
      <c r="E109" s="5" t="n"/>
      <c r="F109" s="21" t="n"/>
      <c r="G109" s="22" t="n"/>
      <c r="H109" s="21" t="n"/>
    </row>
    <row r="110">
      <c r="A110" s="21" t="n"/>
      <c r="B110" s="21" t="n"/>
      <c r="C110" s="26" t="n"/>
      <c r="D110" s="21" t="n"/>
      <c r="E110" s="5" t="n"/>
      <c r="F110" s="21" t="n"/>
      <c r="G110" s="22" t="n"/>
      <c r="H110" s="21" t="n"/>
    </row>
    <row r="111">
      <c r="A111" s="21" t="n"/>
      <c r="B111" s="21" t="n"/>
      <c r="C111" s="26" t="n"/>
      <c r="D111" s="21" t="n"/>
      <c r="E111" s="5" t="n"/>
      <c r="F111" s="21" t="n"/>
      <c r="G111" s="22" t="n"/>
      <c r="H111" s="21" t="n"/>
    </row>
    <row r="112">
      <c r="A112" s="21" t="n"/>
      <c r="B112" s="21" t="n"/>
      <c r="C112" s="26" t="n"/>
      <c r="D112" s="21" t="n"/>
      <c r="E112" s="5" t="n"/>
      <c r="F112" s="21" t="n"/>
      <c r="G112" s="22" t="n"/>
      <c r="H112" s="21" t="n"/>
    </row>
    <row r="113">
      <c r="A113" s="21" t="n"/>
      <c r="B113" s="21" t="n"/>
      <c r="C113" s="26" t="n"/>
      <c r="D113" s="21" t="n"/>
      <c r="E113" s="5" t="n"/>
      <c r="F113" s="21" t="n"/>
      <c r="G113" s="22" t="n"/>
      <c r="H113" s="21" t="n"/>
    </row>
    <row r="114">
      <c r="A114" s="21" t="n"/>
      <c r="B114" s="21" t="n"/>
      <c r="C114" s="26" t="n"/>
      <c r="D114" s="21" t="n"/>
      <c r="E114" s="5" t="n"/>
      <c r="F114" s="21" t="n"/>
      <c r="G114" s="22" t="n"/>
      <c r="H114" s="21" t="n"/>
    </row>
    <row r="115">
      <c r="A115" s="21" t="n"/>
      <c r="B115" s="21" t="n"/>
      <c r="C115" s="26" t="n"/>
      <c r="D115" s="21" t="n"/>
      <c r="E115" s="5" t="n"/>
      <c r="F115" s="21" t="n"/>
      <c r="G115" s="22" t="n"/>
      <c r="H115" s="21" t="n"/>
    </row>
    <row r="116">
      <c r="A116" s="21" t="n"/>
      <c r="B116" s="21" t="n"/>
      <c r="C116" s="26" t="n"/>
      <c r="D116" s="21" t="n"/>
      <c r="E116" s="5" t="n"/>
      <c r="F116" s="21" t="n"/>
      <c r="G116" s="22" t="n"/>
      <c r="H116" s="21" t="n"/>
    </row>
    <row r="117">
      <c r="A117" s="21" t="n"/>
      <c r="B117" s="21" t="n"/>
      <c r="C117" s="26" t="n"/>
      <c r="D117" s="21" t="n"/>
      <c r="E117" s="5" t="n"/>
      <c r="F117" s="21" t="n"/>
      <c r="G117" s="22" t="n"/>
      <c r="H117" s="21" t="n"/>
    </row>
    <row r="118">
      <c r="A118" s="21" t="n"/>
      <c r="B118" s="21" t="n"/>
      <c r="C118" s="26" t="n"/>
      <c r="D118" s="21" t="n"/>
      <c r="E118" s="5" t="n"/>
      <c r="F118" s="21" t="n"/>
      <c r="G118" s="22" t="n"/>
      <c r="H118" s="21" t="n"/>
    </row>
    <row r="119">
      <c r="A119" s="21" t="n"/>
      <c r="B119" s="21" t="n"/>
      <c r="C119" s="26" t="n"/>
      <c r="D119" s="21" t="n"/>
      <c r="E119" s="5" t="n"/>
      <c r="F119" s="21" t="n"/>
      <c r="G119" s="22" t="n"/>
      <c r="H119" s="21" t="n"/>
    </row>
    <row r="120">
      <c r="A120" s="21" t="n"/>
      <c r="B120" s="21" t="n"/>
      <c r="C120" s="26" t="n"/>
      <c r="D120" s="21" t="n"/>
      <c r="E120" s="5" t="n"/>
      <c r="F120" s="21" t="n"/>
      <c r="G120" s="22" t="n"/>
      <c r="H120" s="21" t="n"/>
    </row>
    <row r="121">
      <c r="A121" s="21" t="n"/>
      <c r="B121" s="21" t="n"/>
      <c r="C121" s="26" t="n"/>
      <c r="D121" s="21" t="n"/>
      <c r="E121" s="5" t="n"/>
      <c r="F121" s="21" t="n"/>
      <c r="G121" s="22" t="n"/>
      <c r="H121" s="21" t="n"/>
    </row>
    <row r="122">
      <c r="A122" s="21" t="n"/>
      <c r="B122" s="21" t="n"/>
      <c r="C122" s="26" t="n"/>
      <c r="D122" s="21" t="n"/>
      <c r="E122" s="5" t="n"/>
      <c r="F122" s="21" t="n"/>
      <c r="G122" s="22" t="n"/>
      <c r="H122" s="21" t="n"/>
    </row>
    <row r="123">
      <c r="A123" s="21" t="n"/>
      <c r="B123" s="21" t="n"/>
      <c r="C123" s="26" t="n"/>
      <c r="D123" s="21" t="n"/>
      <c r="E123" s="5" t="n"/>
      <c r="F123" s="21" t="n"/>
      <c r="G123" s="22" t="n"/>
      <c r="H123" s="21" t="n"/>
    </row>
    <row r="124">
      <c r="A124" s="21" t="n"/>
      <c r="B124" s="21" t="n"/>
      <c r="C124" s="26" t="n"/>
      <c r="D124" s="21" t="n"/>
      <c r="E124" s="5" t="n"/>
      <c r="F124" s="21" t="n"/>
      <c r="G124" s="22" t="n"/>
      <c r="H124" s="21" t="n"/>
    </row>
    <row r="125">
      <c r="A125" s="21" t="n"/>
      <c r="B125" s="21" t="n"/>
      <c r="C125" s="26" t="n"/>
      <c r="D125" s="21" t="n"/>
      <c r="E125" s="5" t="n"/>
      <c r="F125" s="21" t="n"/>
      <c r="G125" s="22" t="n"/>
      <c r="H125" s="21" t="n"/>
    </row>
    <row r="126">
      <c r="A126" s="21" t="n"/>
      <c r="B126" s="21" t="n"/>
      <c r="C126" s="26" t="n"/>
      <c r="D126" s="21" t="n"/>
      <c r="E126" s="5" t="n"/>
      <c r="F126" s="21" t="n"/>
      <c r="G126" s="22" t="n"/>
      <c r="H126" s="21" t="n"/>
    </row>
    <row r="127">
      <c r="A127" s="21" t="n"/>
      <c r="B127" s="21" t="n"/>
      <c r="C127" s="26" t="n"/>
      <c r="D127" s="21" t="n"/>
      <c r="E127" s="5" t="n"/>
      <c r="F127" s="21" t="n"/>
      <c r="G127" s="22" t="n"/>
      <c r="H127" s="21" t="n"/>
    </row>
    <row r="128">
      <c r="A128" s="21" t="n"/>
      <c r="B128" s="21" t="n"/>
      <c r="C128" s="26" t="n"/>
      <c r="D128" s="21" t="n"/>
      <c r="E128" s="5" t="n"/>
      <c r="F128" s="21" t="n"/>
      <c r="G128" s="22" t="n"/>
      <c r="H128" s="21" t="n"/>
    </row>
    <row r="129">
      <c r="A129" s="21" t="n"/>
      <c r="B129" s="21" t="n"/>
      <c r="C129" s="26" t="n"/>
      <c r="D129" s="21" t="n"/>
      <c r="E129" s="5" t="n"/>
      <c r="F129" s="21" t="n"/>
      <c r="G129" s="22" t="n"/>
      <c r="H129" s="21" t="n"/>
    </row>
    <row r="130">
      <c r="A130" s="21" t="n"/>
      <c r="B130" s="21" t="n"/>
      <c r="C130" s="26" t="n"/>
      <c r="D130" s="21" t="n"/>
      <c r="E130" s="5" t="n"/>
      <c r="F130" s="21" t="n"/>
      <c r="G130" s="22" t="n"/>
      <c r="H130" s="21" t="n"/>
    </row>
    <row r="131">
      <c r="A131" s="21" t="n"/>
      <c r="B131" s="21" t="n"/>
      <c r="C131" s="26" t="n"/>
      <c r="D131" s="21" t="n"/>
      <c r="E131" s="5" t="n"/>
      <c r="F131" s="21" t="n"/>
      <c r="G131" s="22" t="n"/>
      <c r="H131" s="21" t="n"/>
    </row>
    <row r="132">
      <c r="A132" s="21" t="n"/>
      <c r="B132" s="21" t="n"/>
      <c r="C132" s="26" t="n"/>
      <c r="D132" s="21" t="n"/>
      <c r="E132" s="5" t="n"/>
      <c r="F132" s="21" t="n"/>
      <c r="G132" s="22" t="n"/>
      <c r="H132" s="21" t="n"/>
    </row>
    <row r="133">
      <c r="A133" s="21" t="n"/>
      <c r="B133" s="21" t="n"/>
      <c r="C133" s="26" t="n"/>
      <c r="D133" s="21" t="n"/>
      <c r="E133" s="5" t="n"/>
      <c r="F133" s="21" t="n"/>
      <c r="G133" s="22" t="n"/>
      <c r="H133" s="21" t="n"/>
    </row>
    <row r="134">
      <c r="A134" s="21" t="n"/>
      <c r="B134" s="21" t="n"/>
      <c r="C134" s="26" t="n"/>
      <c r="D134" s="21" t="n"/>
      <c r="E134" s="5" t="n"/>
      <c r="F134" s="21" t="n"/>
      <c r="G134" s="22" t="n"/>
      <c r="H134" s="21" t="n"/>
    </row>
    <row r="135">
      <c r="A135" s="21" t="n"/>
      <c r="B135" s="21" t="n"/>
      <c r="C135" s="26" t="n"/>
      <c r="D135" s="21" t="n"/>
      <c r="E135" s="5" t="n"/>
      <c r="F135" s="21" t="n"/>
      <c r="G135" s="22" t="n"/>
      <c r="H135" s="21" t="n"/>
    </row>
    <row r="136">
      <c r="A136" s="21" t="n"/>
      <c r="B136" s="21" t="n"/>
      <c r="C136" s="26" t="n"/>
      <c r="D136" s="21" t="n"/>
      <c r="E136" s="5" t="n"/>
      <c r="F136" s="21" t="n"/>
      <c r="G136" s="22" t="n"/>
      <c r="H136" s="21" t="n"/>
    </row>
    <row r="137">
      <c r="A137" s="21" t="n"/>
      <c r="B137" s="21" t="n"/>
      <c r="C137" s="26" t="n"/>
      <c r="D137" s="21" t="n"/>
      <c r="E137" s="5" t="n"/>
      <c r="F137" s="21" t="n"/>
      <c r="G137" s="22" t="n"/>
      <c r="H137" s="21" t="n"/>
    </row>
    <row r="138">
      <c r="A138" s="21" t="n"/>
      <c r="B138" s="21" t="n"/>
      <c r="C138" s="26" t="n"/>
      <c r="D138" s="21" t="n"/>
      <c r="E138" s="5" t="n"/>
      <c r="F138" s="21" t="n"/>
      <c r="G138" s="22" t="n"/>
      <c r="H138" s="21" t="n"/>
    </row>
    <row r="139">
      <c r="A139" s="21" t="n"/>
      <c r="B139" s="21" t="n"/>
      <c r="C139" s="26" t="n"/>
      <c r="D139" s="21" t="n"/>
      <c r="E139" s="5" t="n"/>
      <c r="F139" s="21" t="n"/>
      <c r="G139" s="22" t="n"/>
      <c r="H139" s="21" t="n"/>
    </row>
    <row r="140">
      <c r="A140" s="21" t="n"/>
      <c r="B140" s="21" t="n"/>
      <c r="C140" s="26" t="n"/>
      <c r="D140" s="21" t="n"/>
      <c r="E140" s="5" t="n"/>
      <c r="F140" s="21" t="n"/>
      <c r="G140" s="22" t="n"/>
      <c r="H140" s="21" t="n"/>
    </row>
    <row r="141">
      <c r="A141" s="21" t="n"/>
      <c r="B141" s="21" t="n"/>
      <c r="C141" s="26" t="n"/>
      <c r="D141" s="21" t="n"/>
      <c r="E141" s="5" t="n"/>
      <c r="F141" s="21" t="n"/>
      <c r="G141" s="22" t="n"/>
      <c r="H141" s="21" t="n"/>
    </row>
    <row r="142">
      <c r="A142" s="21" t="n"/>
      <c r="B142" s="21" t="n"/>
      <c r="C142" s="26" t="n"/>
      <c r="D142" s="21" t="n"/>
      <c r="E142" s="5" t="n"/>
      <c r="F142" s="21" t="n"/>
      <c r="G142" s="22" t="n"/>
      <c r="H142" s="21" t="n"/>
    </row>
    <row r="143">
      <c r="A143" s="21" t="n"/>
      <c r="B143" s="21" t="n"/>
      <c r="C143" s="26" t="n"/>
      <c r="D143" s="21" t="n"/>
      <c r="E143" s="5" t="n"/>
      <c r="F143" s="21" t="n"/>
      <c r="G143" s="22" t="n"/>
      <c r="H143" s="21" t="n"/>
    </row>
    <row r="144">
      <c r="A144" s="21" t="n"/>
      <c r="B144" s="21" t="n"/>
      <c r="C144" s="26" t="n"/>
      <c r="D144" s="21" t="n"/>
      <c r="E144" s="5" t="n"/>
      <c r="F144" s="21" t="n"/>
      <c r="G144" s="22" t="n"/>
      <c r="H144" s="21" t="n"/>
    </row>
    <row r="145">
      <c r="A145" s="21" t="n"/>
      <c r="B145" s="21" t="n"/>
      <c r="C145" s="26" t="n"/>
      <c r="D145" s="21" t="n"/>
      <c r="E145" s="5" t="n"/>
      <c r="F145" s="21" t="n"/>
      <c r="G145" s="22" t="n"/>
      <c r="H145" s="21" t="n"/>
    </row>
    <row r="146">
      <c r="A146" s="21" t="n"/>
      <c r="B146" s="21" t="n"/>
      <c r="C146" s="26" t="n"/>
      <c r="D146" s="21" t="n"/>
      <c r="E146" s="5" t="n"/>
      <c r="F146" s="21" t="n"/>
      <c r="G146" s="22" t="n"/>
      <c r="H146" s="21" t="n"/>
    </row>
    <row r="147">
      <c r="A147" s="21" t="n"/>
      <c r="B147" s="21" t="n"/>
      <c r="C147" s="26" t="n"/>
      <c r="D147" s="21" t="n"/>
      <c r="E147" s="5" t="n"/>
      <c r="F147" s="21" t="n"/>
      <c r="G147" s="22" t="n"/>
      <c r="H147" s="21" t="n"/>
    </row>
    <row r="148">
      <c r="A148" s="21" t="n"/>
      <c r="B148" s="21" t="n"/>
      <c r="C148" s="26" t="n"/>
      <c r="D148" s="21" t="n"/>
      <c r="E148" s="5" t="n"/>
      <c r="F148" s="21" t="n"/>
      <c r="G148" s="22" t="n"/>
      <c r="H148" s="21" t="n"/>
    </row>
    <row r="149">
      <c r="A149" s="21" t="n"/>
      <c r="B149" s="21" t="n"/>
      <c r="C149" s="26" t="n"/>
      <c r="D149" s="21" t="n"/>
      <c r="E149" s="5" t="n"/>
      <c r="F149" s="21" t="n"/>
      <c r="G149" s="22" t="n"/>
      <c r="H149" s="21" t="n"/>
    </row>
    <row r="150">
      <c r="A150" s="21" t="n"/>
      <c r="B150" s="21" t="n"/>
      <c r="C150" s="26" t="n"/>
      <c r="D150" s="21" t="n"/>
      <c r="E150" s="5" t="n"/>
      <c r="F150" s="21" t="n"/>
      <c r="G150" s="22" t="n"/>
      <c r="H150" s="21" t="n"/>
    </row>
    <row r="151">
      <c r="A151" s="21" t="n"/>
      <c r="B151" s="21" t="n"/>
      <c r="C151" s="26" t="n"/>
      <c r="D151" s="21" t="n"/>
      <c r="E151" s="5" t="n"/>
      <c r="F151" s="21" t="n"/>
      <c r="G151" s="22" t="n"/>
      <c r="H151" s="21" t="n"/>
    </row>
    <row r="152">
      <c r="A152" s="21" t="n"/>
      <c r="B152" s="21" t="n"/>
      <c r="C152" s="26" t="n"/>
      <c r="D152" s="21" t="n"/>
      <c r="E152" s="5" t="n"/>
      <c r="F152" s="21" t="n"/>
      <c r="G152" s="22" t="n"/>
      <c r="H152" s="21" t="n"/>
    </row>
    <row r="153">
      <c r="A153" s="21" t="n"/>
      <c r="B153" s="21" t="n"/>
      <c r="C153" s="26" t="n"/>
      <c r="D153" s="21" t="n"/>
      <c r="E153" s="5" t="n"/>
      <c r="F153" s="21" t="n"/>
      <c r="G153" s="22" t="n"/>
      <c r="H153" s="21" t="n"/>
    </row>
    <row r="154">
      <c r="A154" s="21" t="n"/>
      <c r="B154" s="21" t="n"/>
      <c r="C154" s="26" t="n"/>
      <c r="D154" s="21" t="n"/>
      <c r="E154" s="5" t="n"/>
      <c r="F154" s="21" t="n"/>
      <c r="G154" s="22" t="n"/>
      <c r="H154" s="21" t="n"/>
    </row>
    <row r="155">
      <c r="A155" s="21" t="n"/>
      <c r="B155" s="21" t="n"/>
      <c r="C155" s="26" t="n"/>
      <c r="D155" s="21" t="n"/>
      <c r="E155" s="5" t="n"/>
      <c r="F155" s="21" t="n"/>
      <c r="G155" s="22" t="n"/>
      <c r="H155" s="21" t="n"/>
    </row>
    <row r="156">
      <c r="A156" s="21" t="n"/>
      <c r="B156" s="21" t="n"/>
      <c r="C156" s="26" t="n"/>
      <c r="D156" s="21" t="n"/>
      <c r="E156" s="5" t="n"/>
      <c r="F156" s="21" t="n"/>
      <c r="G156" s="22" t="n"/>
      <c r="H156" s="21" t="n"/>
    </row>
    <row r="157">
      <c r="A157" s="21" t="n"/>
      <c r="B157" s="21" t="n"/>
      <c r="C157" s="26" t="n"/>
      <c r="D157" s="21" t="n"/>
      <c r="E157" s="5" t="n"/>
      <c r="F157" s="21" t="n"/>
      <c r="G157" s="22" t="n"/>
      <c r="H157" s="21" t="n"/>
    </row>
    <row r="158">
      <c r="A158" s="21" t="n"/>
      <c r="B158" s="21" t="n"/>
      <c r="C158" s="26" t="n"/>
      <c r="D158" s="21" t="n"/>
      <c r="E158" s="5" t="n"/>
      <c r="F158" s="21" t="n"/>
      <c r="G158" s="22" t="n"/>
      <c r="H158" s="21" t="n"/>
    </row>
    <row r="159">
      <c r="A159" s="21" t="n"/>
      <c r="B159" s="21" t="n"/>
      <c r="C159" s="26" t="n"/>
      <c r="D159" s="21" t="n"/>
      <c r="E159" s="5" t="n"/>
      <c r="F159" s="21" t="n"/>
      <c r="G159" s="22" t="n"/>
      <c r="H159" s="21" t="n"/>
    </row>
    <row r="160">
      <c r="A160" s="21" t="n"/>
      <c r="B160" s="21" t="n"/>
      <c r="C160" s="26" t="n"/>
      <c r="D160" s="21" t="n"/>
      <c r="E160" s="5" t="n"/>
      <c r="F160" s="21" t="n"/>
      <c r="G160" s="22" t="n"/>
      <c r="H160" s="21" t="n"/>
    </row>
    <row r="161">
      <c r="A161" s="21" t="n"/>
      <c r="B161" s="21" t="n"/>
      <c r="C161" s="26" t="n"/>
      <c r="D161" s="21" t="n"/>
      <c r="E161" s="5" t="n"/>
      <c r="F161" s="21" t="n"/>
      <c r="G161" s="22" t="n"/>
      <c r="H161" s="21" t="n"/>
    </row>
    <row r="162">
      <c r="A162" s="21" t="n"/>
      <c r="B162" s="21" t="n"/>
      <c r="C162" s="26" t="n"/>
      <c r="D162" s="21" t="n"/>
      <c r="E162" s="5" t="n"/>
      <c r="F162" s="21" t="n"/>
      <c r="G162" s="22" t="n"/>
      <c r="H162" s="21" t="n"/>
    </row>
    <row r="163">
      <c r="A163" s="21" t="n"/>
      <c r="B163" s="21" t="n"/>
      <c r="C163" s="26" t="n"/>
      <c r="D163" s="21" t="n"/>
      <c r="E163" s="5" t="n"/>
      <c r="F163" s="21" t="n"/>
      <c r="G163" s="22" t="n"/>
      <c r="H163" s="21" t="n"/>
    </row>
    <row r="164">
      <c r="A164" s="21" t="n"/>
      <c r="B164" s="21" t="n"/>
      <c r="C164" s="26" t="n"/>
      <c r="D164" s="21" t="n"/>
      <c r="E164" s="5" t="n"/>
      <c r="F164" s="21" t="n"/>
      <c r="G164" s="22" t="n"/>
      <c r="H164" s="21" t="n"/>
    </row>
    <row r="165">
      <c r="A165" s="21" t="n"/>
      <c r="B165" s="21" t="n"/>
      <c r="C165" s="26" t="n"/>
      <c r="D165" s="21" t="n"/>
      <c r="E165" s="5" t="n"/>
      <c r="F165" s="21" t="n"/>
      <c r="G165" s="22" t="n"/>
      <c r="H165" s="21" t="n"/>
    </row>
    <row r="166">
      <c r="A166" s="21" t="n"/>
      <c r="B166" s="21" t="n"/>
      <c r="C166" s="26" t="n"/>
      <c r="D166" s="21" t="n"/>
      <c r="E166" s="5" t="n"/>
      <c r="F166" s="21" t="n"/>
      <c r="G166" s="22" t="n"/>
      <c r="H166" s="21" t="n"/>
    </row>
    <row r="167">
      <c r="A167" s="21" t="n"/>
      <c r="B167" s="21" t="n"/>
      <c r="C167" s="26" t="n"/>
      <c r="D167" s="21" t="n"/>
      <c r="E167" s="5" t="n"/>
      <c r="F167" s="21" t="n"/>
      <c r="G167" s="22" t="n"/>
      <c r="H167" s="21" t="n"/>
    </row>
    <row r="168">
      <c r="A168" s="21" t="n"/>
      <c r="B168" s="21" t="n"/>
      <c r="C168" s="26" t="n"/>
      <c r="D168" s="21" t="n"/>
      <c r="E168" s="5" t="n"/>
      <c r="F168" s="21" t="n"/>
      <c r="G168" s="22" t="n"/>
      <c r="H168" s="21" t="n"/>
    </row>
    <row r="169">
      <c r="A169" s="21" t="n"/>
      <c r="B169" s="21" t="n"/>
      <c r="C169" s="26" t="n"/>
      <c r="D169" s="21" t="n"/>
      <c r="E169" s="5" t="n"/>
      <c r="F169" s="21" t="n"/>
      <c r="G169" s="22" t="n"/>
      <c r="H169" s="21" t="n"/>
    </row>
    <row r="170">
      <c r="A170" s="21" t="n"/>
      <c r="B170" s="21" t="n"/>
      <c r="C170" s="26" t="n"/>
      <c r="D170" s="21" t="n"/>
      <c r="E170" s="5" t="n"/>
      <c r="F170" s="21" t="n"/>
      <c r="G170" s="22" t="n"/>
      <c r="H170" s="21" t="n"/>
    </row>
    <row r="171">
      <c r="A171" s="21" t="n"/>
      <c r="B171" s="21" t="n"/>
      <c r="C171" s="26" t="n"/>
      <c r="D171" s="21" t="n"/>
      <c r="E171" s="5" t="n"/>
      <c r="F171" s="21" t="n"/>
      <c r="G171" s="22" t="n"/>
      <c r="H171" s="21" t="n"/>
    </row>
    <row r="172">
      <c r="A172" s="21" t="n"/>
      <c r="B172" s="21" t="n"/>
      <c r="C172" s="26" t="n"/>
      <c r="D172" s="21" t="n"/>
      <c r="E172" s="5" t="n"/>
      <c r="F172" s="21" t="n"/>
      <c r="G172" s="22" t="n"/>
      <c r="H172" s="21" t="n"/>
    </row>
    <row r="173">
      <c r="A173" s="21" t="n"/>
      <c r="B173" s="21" t="n"/>
      <c r="C173" s="26" t="n"/>
      <c r="D173" s="21" t="n"/>
      <c r="E173" s="5" t="n"/>
      <c r="F173" s="21" t="n"/>
      <c r="G173" s="22" t="n"/>
      <c r="H173" s="21" t="n"/>
    </row>
    <row r="174">
      <c r="A174" s="21" t="n"/>
      <c r="B174" s="21" t="n"/>
      <c r="C174" s="26" t="n"/>
      <c r="D174" s="21" t="n"/>
      <c r="E174" s="5" t="n"/>
      <c r="F174" s="21" t="n"/>
      <c r="G174" s="22" t="n"/>
      <c r="H174" s="21" t="n"/>
    </row>
    <row r="175">
      <c r="A175" s="21" t="n"/>
      <c r="B175" s="21" t="n"/>
      <c r="C175" s="26" t="n"/>
      <c r="D175" s="21" t="n"/>
      <c r="E175" s="5" t="n"/>
      <c r="F175" s="21" t="n"/>
      <c r="G175" s="22" t="n"/>
      <c r="H175" s="21" t="n"/>
    </row>
    <row r="176">
      <c r="A176" s="21" t="n"/>
      <c r="B176" s="21" t="n"/>
      <c r="C176" s="26" t="n"/>
      <c r="D176" s="21" t="n"/>
      <c r="E176" s="5" t="n"/>
      <c r="F176" s="21" t="n"/>
      <c r="G176" s="22" t="n"/>
      <c r="H176" s="21" t="n"/>
    </row>
    <row r="177">
      <c r="A177" s="21" t="n"/>
      <c r="B177" s="21" t="n"/>
      <c r="C177" s="26" t="n"/>
      <c r="D177" s="21" t="n"/>
      <c r="E177" s="5" t="n"/>
      <c r="F177" s="21" t="n"/>
      <c r="G177" s="22" t="n"/>
      <c r="H177" s="21" t="n"/>
    </row>
    <row r="178">
      <c r="A178" s="21" t="n"/>
      <c r="B178" s="21" t="n"/>
      <c r="C178" s="26" t="n"/>
      <c r="D178" s="21" t="n"/>
      <c r="E178" s="5" t="n"/>
      <c r="F178" s="21" t="n"/>
      <c r="G178" s="22" t="n"/>
      <c r="H178" s="21" t="n"/>
    </row>
    <row r="179">
      <c r="A179" s="21" t="n"/>
      <c r="B179" s="21" t="n"/>
      <c r="C179" s="26" t="n"/>
      <c r="D179" s="21" t="n"/>
      <c r="E179" s="5" t="n"/>
      <c r="F179" s="21" t="n"/>
      <c r="G179" s="22" t="n"/>
      <c r="H179" s="21" t="n"/>
    </row>
    <row r="180">
      <c r="A180" s="21" t="n"/>
      <c r="B180" s="21" t="n"/>
      <c r="C180" s="26" t="n"/>
      <c r="D180" s="21" t="n"/>
      <c r="E180" s="5" t="n"/>
      <c r="F180" s="21" t="n"/>
      <c r="G180" s="22" t="n"/>
      <c r="H180" s="21" t="n"/>
    </row>
    <row r="181">
      <c r="A181" s="21" t="n"/>
      <c r="B181" s="21" t="n"/>
      <c r="C181" s="26" t="n"/>
      <c r="D181" s="21" t="n"/>
      <c r="E181" s="5" t="n"/>
      <c r="F181" s="21" t="n"/>
      <c r="G181" s="22" t="n"/>
      <c r="H181" s="21" t="n"/>
    </row>
    <row r="182">
      <c r="A182" s="21" t="n"/>
      <c r="B182" s="21" t="n"/>
      <c r="C182" s="26" t="n"/>
      <c r="D182" s="21" t="n"/>
      <c r="E182" s="5" t="n"/>
      <c r="F182" s="21" t="n"/>
      <c r="G182" s="22" t="n"/>
      <c r="H182" s="21" t="n"/>
    </row>
    <row r="183">
      <c r="A183" s="21" t="n"/>
      <c r="B183" s="21" t="n"/>
      <c r="C183" s="26" t="n"/>
      <c r="D183" s="21" t="n"/>
      <c r="E183" s="5" t="n"/>
      <c r="F183" s="21" t="n"/>
      <c r="G183" s="22" t="n"/>
      <c r="H183" s="21" t="n"/>
    </row>
    <row r="184">
      <c r="A184" s="21" t="n"/>
      <c r="B184" s="21" t="n"/>
      <c r="C184" s="26" t="n"/>
      <c r="D184" s="21" t="n"/>
      <c r="E184" s="5" t="n"/>
      <c r="F184" s="21" t="n"/>
      <c r="G184" s="22" t="n"/>
      <c r="H184" s="21" t="n"/>
    </row>
    <row r="185">
      <c r="A185" s="21" t="n"/>
      <c r="B185" s="21" t="n"/>
      <c r="C185" s="26" t="n"/>
      <c r="D185" s="21" t="n"/>
      <c r="E185" s="5" t="n"/>
      <c r="F185" s="21" t="n"/>
      <c r="G185" s="22" t="n"/>
      <c r="H185" s="21" t="n"/>
    </row>
    <row r="186">
      <c r="A186" s="21" t="n"/>
      <c r="B186" s="21" t="n"/>
      <c r="C186" s="26" t="n"/>
      <c r="D186" s="21" t="n"/>
      <c r="E186" s="5" t="n"/>
      <c r="F186" s="21" t="n"/>
      <c r="G186" s="22" t="n"/>
      <c r="H186" s="21" t="n"/>
    </row>
    <row r="187">
      <c r="A187" s="21" t="n"/>
      <c r="B187" s="21" t="n"/>
      <c r="C187" s="26" t="n"/>
      <c r="D187" s="21" t="n"/>
      <c r="E187" s="5" t="n"/>
      <c r="F187" s="21" t="n"/>
      <c r="G187" s="22" t="n"/>
      <c r="H187" s="21" t="n"/>
    </row>
    <row r="188">
      <c r="A188" s="21" t="n"/>
      <c r="B188" s="21" t="n"/>
      <c r="C188" s="26" t="n"/>
      <c r="D188" s="21" t="n"/>
      <c r="E188" s="5" t="n"/>
      <c r="F188" s="21" t="n"/>
      <c r="G188" s="22" t="n"/>
      <c r="H188" s="21" t="n"/>
    </row>
    <row r="189">
      <c r="A189" s="21" t="n"/>
      <c r="B189" s="21" t="n"/>
      <c r="C189" s="26" t="n"/>
      <c r="D189" s="21" t="n"/>
      <c r="E189" s="5" t="n"/>
      <c r="F189" s="21" t="n"/>
      <c r="G189" s="22" t="n"/>
      <c r="H189" s="21" t="n"/>
    </row>
    <row r="190">
      <c r="A190" s="21" t="n"/>
      <c r="B190" s="21" t="n"/>
      <c r="C190" s="26" t="n"/>
      <c r="D190" s="21" t="n"/>
      <c r="E190" s="5" t="n"/>
      <c r="F190" s="21" t="n"/>
      <c r="G190" s="22" t="n"/>
      <c r="H190" s="21" t="n"/>
    </row>
    <row r="191">
      <c r="A191" s="21" t="n"/>
      <c r="B191" s="21" t="n"/>
      <c r="C191" s="26" t="n"/>
      <c r="D191" s="21" t="n"/>
      <c r="E191" s="5" t="n"/>
      <c r="F191" s="21" t="n"/>
      <c r="G191" s="22" t="n"/>
      <c r="H191" s="21" t="n"/>
    </row>
    <row r="192">
      <c r="A192" s="21" t="n"/>
      <c r="B192" s="21" t="n"/>
      <c r="C192" s="26" t="n"/>
      <c r="D192" s="21" t="n"/>
      <c r="E192" s="5" t="n"/>
      <c r="F192" s="21" t="n"/>
      <c r="G192" s="22" t="n"/>
      <c r="H192" s="21" t="n"/>
    </row>
    <row r="193">
      <c r="A193" s="21" t="n"/>
      <c r="B193" s="21" t="n"/>
      <c r="C193" s="26" t="n"/>
      <c r="D193" s="21" t="n"/>
      <c r="E193" s="5" t="n"/>
      <c r="F193" s="21" t="n"/>
      <c r="G193" s="22" t="n"/>
      <c r="H193" s="21" t="n"/>
    </row>
    <row r="194">
      <c r="A194" s="21" t="n"/>
      <c r="B194" s="21" t="n"/>
      <c r="C194" s="26" t="n"/>
      <c r="D194" s="21" t="n"/>
      <c r="E194" s="5" t="n"/>
      <c r="F194" s="21" t="n"/>
      <c r="G194" s="22" t="n"/>
      <c r="H194" s="21" t="n"/>
    </row>
    <row r="195">
      <c r="A195" s="21" t="n"/>
      <c r="B195" s="21" t="n"/>
      <c r="C195" s="26" t="n"/>
      <c r="D195" s="21" t="n"/>
      <c r="E195" s="5" t="n"/>
      <c r="F195" s="21" t="n"/>
      <c r="G195" s="22" t="n"/>
      <c r="H195" s="21" t="n"/>
    </row>
    <row r="196">
      <c r="A196" s="21" t="n"/>
      <c r="B196" s="21" t="n"/>
      <c r="C196" s="26" t="n"/>
      <c r="D196" s="21" t="n"/>
      <c r="E196" s="5" t="n"/>
      <c r="F196" s="21" t="n"/>
      <c r="G196" s="22" t="n"/>
      <c r="H196" s="21" t="n"/>
    </row>
    <row r="197">
      <c r="A197" s="21" t="n"/>
      <c r="B197" s="21" t="n"/>
      <c r="C197" s="26" t="n"/>
      <c r="D197" s="21" t="n"/>
      <c r="E197" s="5" t="n"/>
      <c r="F197" s="21" t="n"/>
      <c r="G197" s="22" t="n"/>
      <c r="H197" s="21" t="n"/>
    </row>
    <row r="198">
      <c r="A198" s="21" t="n"/>
      <c r="B198" s="21" t="n"/>
      <c r="C198" s="26" t="n"/>
      <c r="D198" s="21" t="n"/>
      <c r="E198" s="5" t="n"/>
      <c r="F198" s="21" t="n"/>
      <c r="G198" s="22" t="n"/>
      <c r="H198" s="21" t="n"/>
    </row>
    <row r="199">
      <c r="A199" s="21" t="n"/>
      <c r="B199" s="21" t="n"/>
      <c r="C199" s="26" t="n"/>
      <c r="D199" s="21" t="n"/>
      <c r="E199" s="5" t="n"/>
      <c r="F199" s="21" t="n"/>
      <c r="G199" s="22" t="n"/>
      <c r="H199" s="21" t="n"/>
    </row>
    <row r="200">
      <c r="A200" s="21" t="n"/>
      <c r="B200" s="21" t="n"/>
      <c r="C200" s="26" t="n"/>
      <c r="D200" s="21" t="n"/>
      <c r="E200" s="5" t="n"/>
      <c r="F200" s="21" t="n"/>
      <c r="G200" s="22" t="n"/>
      <c r="H200" s="21" t="n"/>
    </row>
    <row r="201">
      <c r="A201" s="21" t="n"/>
      <c r="B201" s="21" t="n"/>
      <c r="C201" s="26" t="n"/>
      <c r="D201" s="21" t="n"/>
      <c r="E201" s="5" t="n"/>
      <c r="F201" s="21" t="n"/>
      <c r="G201" s="22" t="n"/>
      <c r="H201" s="21" t="n"/>
    </row>
    <row r="202">
      <c r="A202" s="21" t="n"/>
      <c r="B202" s="21" t="n"/>
      <c r="C202" s="26" t="n"/>
      <c r="D202" s="21" t="n"/>
      <c r="E202" s="5" t="n"/>
      <c r="F202" s="21" t="n"/>
      <c r="G202" s="22" t="n"/>
      <c r="H202" s="21" t="n"/>
    </row>
    <row r="203">
      <c r="A203" s="21" t="n"/>
      <c r="B203" s="21" t="n"/>
      <c r="C203" s="26" t="n"/>
      <c r="D203" s="21" t="n"/>
      <c r="E203" s="5" t="n"/>
      <c r="F203" s="21" t="n"/>
      <c r="G203" s="22" t="n"/>
      <c r="H203" s="21" t="n"/>
    </row>
    <row r="204">
      <c r="A204" s="21" t="n"/>
      <c r="B204" s="21" t="n"/>
      <c r="C204" s="26" t="n"/>
      <c r="D204" s="21" t="n"/>
      <c r="E204" s="5" t="n"/>
      <c r="F204" s="21" t="n"/>
      <c r="G204" s="22" t="n"/>
      <c r="H204" s="21"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2026-10-03T00:02:34Z</dcterms:created>
  <dcterms:modified xsi:type="dcterms:W3CDTF">2026-10-03T00:02:34Z</dcterms:modified>
</cp:coreProperties>
</file>