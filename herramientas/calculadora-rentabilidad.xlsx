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Reglas" sheetId="2" state="visible" r:id="rId2"/>
    <sheet name="Compra" sheetId="3" state="visible" r:id="rId3"/>
    <sheet name="Consignación" sheetId="4" state="visible" r:id="rId4"/>
    <sheet name="Registro"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0"/>
    <numFmt numFmtId="167" formatCode="dd/mm/yyyy"/>
  </numFmts>
  <fonts count="8">
    <font>
      <name val="Calibri"/>
      <family val="2"/>
      <color theme="1"/>
      <sz val="11"/>
      <scheme val="minor"/>
    </font>
    <font>
      <name val="Arial"/>
      <b val="1"/>
      <sz val="14"/>
    </font>
    <font>
      <name val="Arial"/>
    </font>
    <font>
      <name val="Arial"/>
      <b val="1"/>
    </font>
    <font>
      <name val="Arial"/>
      <b val="1"/>
      <color rgb="00FFFFFF"/>
    </font>
    <font>
      <name val="Arial"/>
      <color rgb="000000FF"/>
    </font>
    <font>
      <name val="Arial"/>
      <i val="1"/>
      <color rgb="006B7280"/>
    </font>
    <font>
      <name val="Arial"/>
      <i val="1"/>
    </font>
  </fonts>
  <fills count="4">
    <fill>
      <patternFill/>
    </fill>
    <fill>
      <patternFill patternType="gray125"/>
    </fill>
    <fill>
      <patternFill patternType="solid">
        <fgColor rgb="001F2937"/>
      </patternFill>
    </fill>
    <fill>
      <patternFill patternType="solid">
        <fgColor rgb="00FFFF00"/>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64" fontId="5" fillId="3" borderId="1" pivotButton="0" quotePrefix="0" xfId="0"/>
    <xf numFmtId="0" fontId="6" fillId="0" borderId="0" pivotButton="0" quotePrefix="0" xfId="0"/>
    <xf numFmtId="165" fontId="5" fillId="3" borderId="1" pivotButton="0" quotePrefix="0" xfId="0"/>
    <xf numFmtId="1" fontId="5" fillId="3" borderId="1" pivotButton="0" quotePrefix="0" xfId="0"/>
    <xf numFmtId="164" fontId="3" fillId="0" borderId="0" pivotButton="0" quotePrefix="0" xfId="0"/>
    <xf numFmtId="0" fontId="0" fillId="2" borderId="0" pivotButton="0" quotePrefix="0" xfId="0"/>
    <xf numFmtId="0" fontId="5" fillId="3" borderId="1" applyAlignment="1" pivotButton="0" quotePrefix="0" xfId="0">
      <alignment horizontal="left"/>
    </xf>
    <xf numFmtId="164" fontId="2" fillId="0" borderId="1" pivotButton="0" quotePrefix="0" xfId="0"/>
    <xf numFmtId="165" fontId="2" fillId="0" borderId="1" pivotButton="0" quotePrefix="0" xfId="0"/>
    <xf numFmtId="166" fontId="2" fillId="0" borderId="1" pivotButton="0" quotePrefix="0" xfId="0"/>
    <xf numFmtId="0" fontId="2" fillId="0" borderId="1" pivotButton="0" quotePrefix="0" xfId="0"/>
    <xf numFmtId="0" fontId="3" fillId="0" borderId="1" pivotButton="0" quotePrefix="0" xfId="0"/>
    <xf numFmtId="0" fontId="7" fillId="0" borderId="0" pivotButton="0" quotePrefix="0" xfId="0"/>
    <xf numFmtId="164" fontId="3" fillId="0" borderId="1" pivotButton="0" quotePrefix="0" xfId="0"/>
    <xf numFmtId="166" fontId="3" fillId="0" borderId="1" pivotButton="0" quotePrefix="0" xfId="0"/>
    <xf numFmtId="0" fontId="4" fillId="2" borderId="0" applyAlignment="1" pivotButton="0" quotePrefix="0" xfId="0">
      <alignment horizontal="center" wrapText="1"/>
    </xf>
    <xf numFmtId="0" fontId="5" fillId="3" borderId="1" pivotButton="0" quotePrefix="0" xfId="0"/>
    <xf numFmtId="167" fontId="5" fillId="3" borderId="1" pivotButton="0" quotePrefix="0" xfId="0"/>
    <xf numFmtId="1" fontId="3" fillId="0" borderId="1" pivotButton="0" quotePrefix="0" xfId="0"/>
    <xf numFmtId="165" fontId="3" fillId="0" borderId="1" pivotButton="0" quotePrefix="0" xfId="0"/>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Josefine Auto</author>
  </authors>
  <commentList>
    <comment ref="B23" authorId="0" shapeId="0">
      <text>
        <t>Lo máximo que puedes ofertar para que el coche cumpla tu ganancia mínima y tu margen mínimo, incluido el colchón.</t>
      </text>
    </comment>
  </commentList>
</comments>
</file>

<file path=xl/comments/comment2.xml><?xml version="1.0" encoding="utf-8"?>
<comments xmlns="http://schemas.openxmlformats.org/spreadsheetml/2006/main">
  <authors>
    <author>Josefine Auto</author>
  </authors>
  <commentList>
    <comment ref="G3" authorId="0" shapeId="0">
      <text>
        <t>En consignación: escribe aquí tu COMISIÓN cobrada, y en 'Precio compra' el precio de venta del coche.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Josefine Auto — Calculadora de rentabilidad</t>
        </is>
      </c>
    </row>
    <row r="2">
      <c r="A2" s="2" t="inlineStr"/>
    </row>
    <row r="3">
      <c r="A3" s="3" t="inlineStr">
        <is>
          <t>Cómo usarla</t>
        </is>
      </c>
    </row>
    <row r="4">
      <c r="A4" s="2" t="inlineStr">
        <is>
          <t>1. Celdas con fondo AMARILLO y texto AZUL = datos que tú escribes. Todo lo demás se calcula solo.</t>
        </is>
      </c>
    </row>
    <row r="5">
      <c r="A5" s="2" t="inlineStr">
        <is>
          <t>2. 'Reglas': tus criterios mínimos de compra. Ajústalos una vez y valen para todos los coches.</t>
        </is>
      </c>
    </row>
    <row r="6">
      <c r="A6" s="2" t="inlineStr">
        <is>
          <t>3. 'Compra': antes de ofertar por un coche, rellena sus números. Te dice si COMPRAR o NO y el precio máximo que puedes pagar.</t>
        </is>
      </c>
    </row>
    <row r="7">
      <c r="A7" s="2" t="inlineStr">
        <is>
          <t>4. 'Consignación': calcula lo que ganas vendiendo un coche ajeno a comisión.</t>
        </is>
      </c>
    </row>
    <row r="8">
      <c r="A8" s="2" t="inlineStr">
        <is>
          <t>5. 'Registro': anota cada operación cerrada. Te da tu margen medio, días de venta y capital acumulado.</t>
        </is>
      </c>
    </row>
    <row r="9">
      <c r="A9" s="2" t="inlineStr"/>
    </row>
    <row r="10">
      <c r="A10" s="3" t="inlineStr">
        <is>
          <t>Los valores que vienen escritos son EJEMPLOS orientativos. Sustitúyelos por cifras reales.</t>
        </is>
      </c>
    </row>
    <row r="11">
      <c r="A11" s="2" t="inlineStr">
        <is>
          <t>Costes de traspaso, revisado y tasas en Panamá: verifica importes vigentes con la ATTT / municipio.</t>
        </is>
      </c>
    </row>
    <row r="12">
      <c r="A12" s="2" t="inlineStr">
        <is>
          <t>Moneda: dólares (USD).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48" customWidth="1" min="1" max="1"/>
    <col width="14" customWidth="1" min="2" max="2"/>
    <col width="50" customWidth="1" min="3" max="3"/>
  </cols>
  <sheetData>
    <row r="1">
      <c r="A1" s="1" t="inlineStr">
        <is>
          <t>Reglas de compra (tus criterios mínimos)</t>
        </is>
      </c>
    </row>
    <row r="3">
      <c r="A3" s="4" t="inlineStr">
        <is>
          <t>Regla</t>
        </is>
      </c>
      <c r="B3" s="4" t="inlineStr">
        <is>
          <t>Valor</t>
        </is>
      </c>
      <c r="C3" s="4" t="inlineStr">
        <is>
          <t>Nota</t>
        </is>
      </c>
    </row>
    <row r="4">
      <c r="A4" s="2" t="inlineStr">
        <is>
          <t>Ganancia neta mínima por coche</t>
        </is>
      </c>
      <c r="B4" s="5" t="n">
        <v>600</v>
      </c>
      <c r="C4" s="6" t="inlineStr">
        <is>
          <t>Ejemplo basado en tu margen histórico ($500–1.500).</t>
        </is>
      </c>
    </row>
    <row r="5">
      <c r="A5" s="2" t="inlineStr">
        <is>
          <t>Margen mínimo sobre precio de venta</t>
        </is>
      </c>
      <c r="B5" s="7" t="n">
        <v>0.12</v>
      </c>
      <c r="C5" s="6" t="inlineStr">
        <is>
          <t>Ejemplo: 12%.</t>
        </is>
      </c>
    </row>
    <row r="6">
      <c r="A6" s="2" t="inlineStr">
        <is>
          <t>Días máximos esperados para vender</t>
        </is>
      </c>
      <c r="B6" s="8" t="n">
        <v>45</v>
      </c>
      <c r="C6" s="6" t="inlineStr">
        <is>
          <t>Objetivo: rotar en menos de 45 días.</t>
        </is>
      </c>
    </row>
    <row r="7">
      <c r="A7" s="2" t="inlineStr">
        <is>
          <t>Colchón para imprevistos (% del precio de compra)</t>
        </is>
      </c>
      <c r="B7" s="7" t="n">
        <v>0.08</v>
      </c>
      <c r="C7" s="6" t="inlineStr">
        <is>
          <t>Reserva para averías no detectadas.</t>
        </is>
      </c>
    </row>
    <row r="8">
      <c r="A8" s="2" t="inlineStr">
        <is>
          <t>Capital disponible total</t>
        </is>
      </c>
      <c r="B8" s="5" t="n">
        <v>5000</v>
      </c>
      <c r="C8" s="6" t="inlineStr">
        <is>
          <t>Dato del usuario: menos de $5.000.</t>
        </is>
      </c>
    </row>
    <row r="9">
      <c r="A9" s="2" t="inlineStr">
        <is>
          <t>Reserva de capital que nunca se invierte</t>
        </is>
      </c>
      <c r="B9" s="5" t="n">
        <v>500</v>
      </c>
      <c r="C9" s="6" t="inlineStr">
        <is>
          <t>Para no quedarte sin liquidez.</t>
        </is>
      </c>
    </row>
    <row r="11">
      <c r="A11" s="3" t="inlineStr">
        <is>
          <t>Precio máximo de compra según capital</t>
        </is>
      </c>
      <c r="B11" s="9">
        <f>B8-B9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8" customWidth="1" min="1" max="1"/>
    <col width="30" customWidth="1" min="2" max="2"/>
  </cols>
  <sheetData>
    <row r="1">
      <c r="A1" s="1" t="inlineStr">
        <is>
          <t>Análisis de compra — un coche</t>
        </is>
      </c>
    </row>
    <row r="3">
      <c r="A3" s="4" t="inlineStr">
        <is>
          <t>Datos del coche</t>
        </is>
      </c>
      <c r="B3" s="10" t="n"/>
    </row>
    <row r="4">
      <c r="A4" s="2" t="inlineStr">
        <is>
          <t>Coche (marca, modelo, año, km)</t>
        </is>
      </c>
      <c r="B4" s="11" t="inlineStr">
        <is>
          <t>EJEMPLO: Mazda3 2010 · 150.000 km</t>
        </is>
      </c>
    </row>
    <row r="5">
      <c r="A5" s="2" t="inlineStr">
        <is>
          <t>Precio de compra (oferta)</t>
        </is>
      </c>
      <c r="B5" s="5" t="n">
        <v>3200</v>
      </c>
    </row>
    <row r="6">
      <c r="A6" s="2" t="inlineStr">
        <is>
          <t>Precio de venta esperado (realista)</t>
        </is>
      </c>
      <c r="B6" s="5" t="n">
        <v>4900</v>
      </c>
    </row>
    <row r="7">
      <c r="A7" s="2" t="inlineStr">
        <is>
          <t>Inspección en taller</t>
        </is>
      </c>
      <c r="B7" s="5" t="n">
        <v>60</v>
      </c>
    </row>
    <row r="8">
      <c r="A8" s="2" t="inlineStr">
        <is>
          <t>Reparaciones / mantenimiento</t>
        </is>
      </c>
      <c r="B8" s="5" t="n">
        <v>300</v>
      </c>
    </row>
    <row r="9">
      <c r="A9" s="2" t="inlineStr">
        <is>
          <t>Detallado / estética</t>
        </is>
      </c>
      <c r="B9" s="5" t="n">
        <v>100</v>
      </c>
    </row>
    <row r="10">
      <c r="A10" s="2" t="inlineStr">
        <is>
          <t>Traspaso, revisado y papeles</t>
        </is>
      </c>
      <c r="B10" s="5" t="n">
        <v>150</v>
      </c>
    </row>
    <row r="11">
      <c r="A11" s="2" t="inlineStr">
        <is>
          <t>Publicidad (anuncios pagados)</t>
        </is>
      </c>
      <c r="B11" s="5" t="n">
        <v>30</v>
      </c>
    </row>
    <row r="12">
      <c r="A12" s="2" t="inlineStr">
        <is>
          <t>Otros gastos</t>
        </is>
      </c>
      <c r="B12" s="5" t="n">
        <v>0</v>
      </c>
    </row>
    <row r="13">
      <c r="A13" s="2" t="inlineStr">
        <is>
          <t>Días estimados hasta vender</t>
        </is>
      </c>
      <c r="B13" s="8" t="n">
        <v>30</v>
      </c>
    </row>
    <row r="15">
      <c r="A15" s="4" t="inlineStr">
        <is>
          <t>Resultados</t>
        </is>
      </c>
      <c r="B15" s="10" t="n"/>
    </row>
    <row r="16">
      <c r="A16" s="2" t="inlineStr">
        <is>
          <t>Colchón para imprevistos</t>
        </is>
      </c>
      <c r="B16" s="12">
        <f>B5*Reglas!$B$7</f>
        <v/>
      </c>
    </row>
    <row r="17">
      <c r="A17" s="2" t="inlineStr">
        <is>
          <t>Coste total (compra + gastos + colchón)</t>
        </is>
      </c>
      <c r="B17" s="12">
        <f>SUM(B5,B7:B12)+B16</f>
        <v/>
      </c>
    </row>
    <row r="18">
      <c r="A18" s="2" t="inlineStr">
        <is>
          <t>Ganancia neta estimada</t>
        </is>
      </c>
      <c r="B18" s="12">
        <f>B6-B17</f>
        <v/>
      </c>
    </row>
    <row r="19">
      <c r="A19" s="2" t="inlineStr">
        <is>
          <t>Margen sobre venta</t>
        </is>
      </c>
      <c r="B19" s="13">
        <f>IF(B6=0,0,B18/B6)</f>
        <v/>
      </c>
    </row>
    <row r="20">
      <c r="A20" s="2" t="inlineStr">
        <is>
          <t>Retorno sobre lo invertido</t>
        </is>
      </c>
      <c r="B20" s="13">
        <f>IF(B17=0,0,B18/B17)</f>
        <v/>
      </c>
    </row>
    <row r="21">
      <c r="A21" s="2" t="inlineStr">
        <is>
          <t>Retorno anualizado (aprox.)</t>
        </is>
      </c>
      <c r="B21" s="13">
        <f>IF(B13=0,0,B20*365/B13)</f>
        <v/>
      </c>
    </row>
    <row r="22">
      <c r="A22" s="2" t="inlineStr">
        <is>
          <t>Ganancia por día de stock</t>
        </is>
      </c>
      <c r="B22" s="14">
        <f>IF(B13=0,0,B18/B13)</f>
        <v/>
      </c>
    </row>
    <row r="23">
      <c r="A23" s="2" t="inlineStr">
        <is>
          <t>Precio MÁXIMO de compra para cumplir reglas</t>
        </is>
      </c>
      <c r="B23" s="12">
        <f>MIN(B6-SUM(B7:B12)-Reglas!$B$4, B6*(1-Reglas!$B$5)-SUM(B7:B12))/(1+Reglas!$B$7)</f>
        <v/>
      </c>
    </row>
    <row r="24">
      <c r="A24" s="2" t="inlineStr">
        <is>
          <t>¿Cabe en tu capital?</t>
        </is>
      </c>
      <c r="B24" s="15">
        <f>IF(B17&lt;=Reglas!$B$11,"SÍ","NO — excede capital")</f>
        <v/>
      </c>
    </row>
    <row r="25">
      <c r="A25" s="3" t="inlineStr">
        <is>
          <t>DECISIÓN</t>
        </is>
      </c>
      <c r="B25" s="16">
        <f>IF(AND(B18&gt;=Reglas!$B$4,B19&gt;=Reglas!$B$5,B13&lt;=Reglas!$B$6,B17&lt;=Reglas!$B$11),"COMPRAR","NO COMPRAR")</f>
        <v/>
      </c>
    </row>
    <row r="27">
      <c r="A27" s="17" t="inlineStr">
        <is>
          <t>Regla de oro: si el vendedor no acepta un precio igual o menor al 'Precio MÁXIMO de compra', se pasa al siguiente coche.</t>
        </is>
      </c>
    </row>
  </sheetData>
  <conditionalFormatting sqref="B25">
    <cfRule type="expression" priority="1" dxfId="0">
      <formula>$B$25="COMPRAR"</formula>
    </cfRule>
    <cfRule type="expression" priority="2" dxfId="1">
      <formula>$B$25="NO COMPRAR"</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44" customWidth="1" min="1" max="1"/>
    <col width="30" customWidth="1" min="2" max="2"/>
  </cols>
  <sheetData>
    <row r="1">
      <c r="A1" s="1" t="inlineStr">
        <is>
          <t>Venta a comisión (consignación)</t>
        </is>
      </c>
    </row>
    <row r="3">
      <c r="A3" s="2" t="inlineStr">
        <is>
          <t>Coche</t>
        </is>
      </c>
      <c r="B3" s="11" t="inlineStr">
        <is>
          <t>EJEMPLO: Nissan 350Z 2008 modificado</t>
        </is>
      </c>
    </row>
    <row r="4">
      <c r="A4" s="2" t="inlineStr">
        <is>
          <t>Precio de venta acordado con el dueño</t>
        </is>
      </c>
      <c r="B4" s="5" t="n">
        <v>14000</v>
      </c>
    </row>
    <row r="5">
      <c r="A5" s="2" t="inlineStr">
        <is>
          <t>Comisión (%)</t>
        </is>
      </c>
      <c r="B5" s="7" t="n">
        <v>0.05</v>
      </c>
    </row>
    <row r="6">
      <c r="A6" s="2" t="inlineStr">
        <is>
          <t>Comisión mínima fija</t>
        </is>
      </c>
      <c r="B6" s="5" t="n">
        <v>500</v>
      </c>
    </row>
    <row r="7">
      <c r="A7" s="2" t="inlineStr">
        <is>
          <t>Gastos tuyos (fotos, detallado, anuncios)</t>
        </is>
      </c>
      <c r="B7" s="5" t="n">
        <v>150</v>
      </c>
    </row>
    <row r="8">
      <c r="A8" s="2" t="inlineStr">
        <is>
          <t>Días estimados hasta vender</t>
        </is>
      </c>
      <c r="B8" s="8" t="n">
        <v>45</v>
      </c>
    </row>
    <row r="10">
      <c r="A10" s="3" t="inlineStr">
        <is>
          <t>Comisión cobrada</t>
        </is>
      </c>
      <c r="B10" s="18">
        <f>MAX(B4*B5,B6)</f>
        <v/>
      </c>
    </row>
    <row r="11">
      <c r="A11" s="3" t="inlineStr">
        <is>
          <t>Ganancia neta</t>
        </is>
      </c>
      <c r="B11" s="18">
        <f>B10-B7</f>
        <v/>
      </c>
    </row>
    <row r="12">
      <c r="A12" s="3" t="inlineStr">
        <is>
          <t>Ganancia por día</t>
        </is>
      </c>
      <c r="B12" s="19">
        <f>IF(B8=0,0,B11/B8)</f>
        <v/>
      </c>
    </row>
    <row r="13">
      <c r="A13" s="3" t="inlineStr">
        <is>
          <t>Lo que recibe el dueño</t>
        </is>
      </c>
      <c r="B13" s="18">
        <f>B4-B10</f>
        <v/>
      </c>
    </row>
    <row r="15">
      <c r="A15" s="17" t="inlineStr">
        <is>
          <t>Ejemplo orientativo: comisión entre 3% y 8% con un mínimo fijo. Firma siempre un contrato de consignación por escrito.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ySplit="3" topLeftCell="A4" activePane="bottomLeft" state="frozen"/>
      <selection pane="bottomLeft" activeCell="A1" sqref="A1"/>
    </sheetView>
  </sheetViews>
  <sheetFormatPr baseColWidth="8" defaultRowHeight="15"/>
  <cols>
    <col width="30" customWidth="1" min="1" max="1"/>
    <col width="16" customWidth="1" min="2" max="2"/>
    <col width="13" customWidth="1" min="3" max="3"/>
    <col width="14" customWidth="1" min="4" max="4"/>
    <col width="14" customWidth="1" min="5" max="5"/>
    <col width="13" customWidth="1" min="6" max="6"/>
    <col width="14" customWidth="1" min="7" max="7"/>
    <col width="10" customWidth="1" min="8" max="8"/>
    <col width="14" customWidth="1" min="9" max="9"/>
    <col width="10" customWidth="1" min="10" max="10"/>
    <col width="16" customWidth="1" min="11" max="11"/>
    <col width="3" customWidth="1" min="12" max="12"/>
    <col width="34" customWidth="1" min="13" max="13"/>
    <col width="14" customWidth="1" min="14" max="14"/>
  </cols>
  <sheetData>
    <row r="1">
      <c r="A1" s="1" t="inlineStr">
        <is>
          <t>Registro de operaciones</t>
        </is>
      </c>
    </row>
    <row r="3">
      <c r="A3" s="20" t="inlineStr">
        <is>
          <t>Coche</t>
        </is>
      </c>
      <c r="B3" s="20" t="inlineStr">
        <is>
          <t>Tipo</t>
        </is>
      </c>
      <c r="C3" s="20" t="inlineStr">
        <is>
          <t>Fecha compra</t>
        </is>
      </c>
      <c r="D3" s="20" t="inlineStr">
        <is>
          <t>Precio compra</t>
        </is>
      </c>
      <c r="E3" s="20" t="inlineStr">
        <is>
          <t>Gastos totales</t>
        </is>
      </c>
      <c r="F3" s="20" t="inlineStr">
        <is>
          <t>Fecha venta</t>
        </is>
      </c>
      <c r="G3" s="20" t="inlineStr">
        <is>
          <t>Precio venta</t>
        </is>
      </c>
      <c r="H3" s="20" t="inlineStr">
        <is>
          <t>Días en stock</t>
        </is>
      </c>
      <c r="I3" s="20" t="inlineStr">
        <is>
          <t>Ganancia neta</t>
        </is>
      </c>
      <c r="J3" s="20" t="inlineStr">
        <is>
          <t>Margen</t>
        </is>
      </c>
      <c r="K3" s="20" t="inlineStr">
        <is>
          <t>Canal de venta</t>
        </is>
      </c>
      <c r="M3" s="4" t="inlineStr">
        <is>
          <t>Resumen</t>
        </is>
      </c>
      <c r="N3" s="10" t="n"/>
    </row>
    <row r="4">
      <c r="A4" s="21" t="inlineStr">
        <is>
          <t>Ejemplo: Toyota Yaris 2011</t>
        </is>
      </c>
      <c r="B4" s="21" t="inlineStr">
        <is>
          <t>Compra propia</t>
        </is>
      </c>
      <c r="C4" s="22" t="n">
        <v>46305</v>
      </c>
      <c r="D4" s="5" t="n">
        <v>3300</v>
      </c>
      <c r="E4" s="5" t="n">
        <v>600</v>
      </c>
      <c r="F4" s="22" t="n">
        <v>46331</v>
      </c>
      <c r="G4" s="5" t="n">
        <v>4800</v>
      </c>
      <c r="H4" s="15">
        <f>IF(OR(C4="",F4=""),"",F4-C4)</f>
        <v/>
      </c>
      <c r="I4" s="12">
        <f>IF(G4="","",IF(B4="Consignación",G4-E4,G4-D4-E4))</f>
        <v/>
      </c>
      <c r="J4" s="13">
        <f>IF(OR(G4="",G4=0),"",IF(B4="Consignación",I4/D4,I4/G4))</f>
        <v/>
      </c>
      <c r="K4" s="21" t="inlineStr">
        <is>
          <t>Instagram</t>
        </is>
      </c>
      <c r="M4" s="2" t="inlineStr">
        <is>
          <t>Operaciones cerradas</t>
        </is>
      </c>
      <c r="N4" s="23">
        <f>COUNT(I4:I53)</f>
        <v/>
      </c>
    </row>
    <row r="5">
      <c r="A5" s="21" t="n"/>
      <c r="B5" s="21" t="n"/>
      <c r="C5" s="22" t="n"/>
      <c r="D5" s="5" t="n"/>
      <c r="E5" s="5" t="n"/>
      <c r="F5" s="22" t="n"/>
      <c r="G5" s="5" t="n"/>
      <c r="H5" s="15">
        <f>IF(OR(C5="",F5=""),"",F5-C5)</f>
        <v/>
      </c>
      <c r="I5" s="12">
        <f>IF(G5="","",IF(B5="Consignación",G5-E5,G5-D5-E5))</f>
        <v/>
      </c>
      <c r="J5" s="13">
        <f>IF(OR(G5="",G5=0),"",IF(B5="Consignación",I5/D5,I5/G5))</f>
        <v/>
      </c>
      <c r="K5" s="21" t="n"/>
      <c r="M5" s="2" t="inlineStr">
        <is>
          <t>Ganancia total</t>
        </is>
      </c>
      <c r="N5" s="18">
        <f>SUM(I4:I53)</f>
        <v/>
      </c>
    </row>
    <row r="6">
      <c r="A6" s="21" t="n"/>
      <c r="B6" s="21" t="n"/>
      <c r="C6" s="22" t="n"/>
      <c r="D6" s="5" t="n"/>
      <c r="E6" s="5" t="n"/>
      <c r="F6" s="22" t="n"/>
      <c r="G6" s="5" t="n"/>
      <c r="H6" s="15">
        <f>IF(OR(C6="",F6=""),"",F6-C6)</f>
        <v/>
      </c>
      <c r="I6" s="12">
        <f>IF(G6="","",IF(B6="Consignación",G6-E6,G6-D6-E6))</f>
        <v/>
      </c>
      <c r="J6" s="13">
        <f>IF(OR(G6="",G6=0),"",IF(B6="Consignación",I6/D6,I6/G6))</f>
        <v/>
      </c>
      <c r="K6" s="21" t="n"/>
      <c r="M6" s="2" t="inlineStr">
        <is>
          <t>Ganancia media</t>
        </is>
      </c>
      <c r="N6" s="18">
        <f>IF(N4=0,0,N5/N4)</f>
        <v/>
      </c>
    </row>
    <row r="7">
      <c r="A7" s="21" t="n"/>
      <c r="B7" s="21" t="n"/>
      <c r="C7" s="22" t="n"/>
      <c r="D7" s="5" t="n"/>
      <c r="E7" s="5" t="n"/>
      <c r="F7" s="22" t="n"/>
      <c r="G7" s="5" t="n"/>
      <c r="H7" s="15">
        <f>IF(OR(C7="",F7=""),"",F7-C7)</f>
        <v/>
      </c>
      <c r="I7" s="12">
        <f>IF(G7="","",IF(B7="Consignación",G7-E7,G7-D7-E7))</f>
        <v/>
      </c>
      <c r="J7" s="13">
        <f>IF(OR(G7="",G7=0),"",IF(B7="Consignación",I7/D7,I7/G7))</f>
        <v/>
      </c>
      <c r="K7" s="21" t="n"/>
      <c r="M7" s="2" t="inlineStr">
        <is>
          <t>Días medios en stock</t>
        </is>
      </c>
      <c r="N7" s="23">
        <f>IF(COUNT(H4:H53)=0,0,AVERAGE(H4:H53))</f>
        <v/>
      </c>
    </row>
    <row r="8">
      <c r="A8" s="21" t="n"/>
      <c r="B8" s="21" t="n"/>
      <c r="C8" s="22" t="n"/>
      <c r="D8" s="5" t="n"/>
      <c r="E8" s="5" t="n"/>
      <c r="F8" s="22" t="n"/>
      <c r="G8" s="5" t="n"/>
      <c r="H8" s="15">
        <f>IF(OR(C8="",F8=""),"",F8-C8)</f>
        <v/>
      </c>
      <c r="I8" s="12">
        <f>IF(G8="","",IF(B8="Consignación",G8-E8,G8-D8-E8))</f>
        <v/>
      </c>
      <c r="J8" s="13">
        <f>IF(OR(G8="",G8=0),"",IF(B8="Consignación",I8/D8,I8/G8))</f>
        <v/>
      </c>
      <c r="K8" s="21" t="n"/>
      <c r="M8" s="2" t="inlineStr">
        <is>
          <t>Margen medio</t>
        </is>
      </c>
      <c r="N8" s="24">
        <f>IF(COUNT(J4:J53)=0,0,AVERAGE(J4:J53))</f>
        <v/>
      </c>
    </row>
    <row r="9">
      <c r="A9" s="21" t="n"/>
      <c r="B9" s="21" t="n"/>
      <c r="C9" s="22" t="n"/>
      <c r="D9" s="5" t="n"/>
      <c r="E9" s="5" t="n"/>
      <c r="F9" s="22" t="n"/>
      <c r="G9" s="5" t="n"/>
      <c r="H9" s="15">
        <f>IF(OR(C9="",F9=""),"",F9-C9)</f>
        <v/>
      </c>
      <c r="I9" s="12">
        <f>IF(G9="","",IF(B9="Consignación",G9-E9,G9-D9-E9))</f>
        <v/>
      </c>
      <c r="J9" s="13">
        <f>IF(OR(G9="",G9=0),"",IF(B9="Consignación",I9/D9,I9/G9))</f>
        <v/>
      </c>
      <c r="K9" s="21" t="n"/>
      <c r="M9" s="2" t="inlineStr">
        <is>
          <t>Capital actual (inicial + ganancias)</t>
        </is>
      </c>
      <c r="N9" s="18">
        <f>Reglas!B8+N5</f>
        <v/>
      </c>
    </row>
    <row r="10">
      <c r="A10" s="21" t="n"/>
      <c r="B10" s="21" t="n"/>
      <c r="C10" s="22" t="n"/>
      <c r="D10" s="5" t="n"/>
      <c r="E10" s="5" t="n"/>
      <c r="F10" s="22" t="n"/>
      <c r="G10" s="5" t="n"/>
      <c r="H10" s="15">
        <f>IF(OR(C10="",F10=""),"",F10-C10)</f>
        <v/>
      </c>
      <c r="I10" s="12">
        <f>IF(G10="","",IF(B10="Consignación",G10-E10,G10-D10-E10))</f>
        <v/>
      </c>
      <c r="J10" s="13">
        <f>IF(OR(G10="",G10=0),"",IF(B10="Consignación",I10/D10,I10/G10))</f>
        <v/>
      </c>
      <c r="K10" s="21" t="n"/>
    </row>
    <row r="11">
      <c r="A11" s="21" t="n"/>
      <c r="B11" s="21" t="n"/>
      <c r="C11" s="22" t="n"/>
      <c r="D11" s="5" t="n"/>
      <c r="E11" s="5" t="n"/>
      <c r="F11" s="22" t="n"/>
      <c r="G11" s="5" t="n"/>
      <c r="H11" s="15">
        <f>IF(OR(C11="",F11=""),"",F11-C11)</f>
        <v/>
      </c>
      <c r="I11" s="12">
        <f>IF(G11="","",IF(B11="Consignación",G11-E11,G11-D11-E11))</f>
        <v/>
      </c>
      <c r="J11" s="13">
        <f>IF(OR(G11="",G11=0),"",IF(B11="Consignación",I11/D11,I11/G11))</f>
        <v/>
      </c>
      <c r="K11" s="21" t="n"/>
    </row>
    <row r="12">
      <c r="A12" s="21" t="n"/>
      <c r="B12" s="21" t="n"/>
      <c r="C12" s="22" t="n"/>
      <c r="D12" s="5" t="n"/>
      <c r="E12" s="5" t="n"/>
      <c r="F12" s="22" t="n"/>
      <c r="G12" s="5" t="n"/>
      <c r="H12" s="15">
        <f>IF(OR(C12="",F12=""),"",F12-C12)</f>
        <v/>
      </c>
      <c r="I12" s="12">
        <f>IF(G12="","",IF(B12="Consignación",G12-E12,G12-D12-E12))</f>
        <v/>
      </c>
      <c r="J12" s="13">
        <f>IF(OR(G12="",G12=0),"",IF(B12="Consignación",I12/D12,I12/G12))</f>
        <v/>
      </c>
      <c r="K12" s="21" t="n"/>
    </row>
    <row r="13">
      <c r="A13" s="21" t="n"/>
      <c r="B13" s="21" t="n"/>
      <c r="C13" s="22" t="n"/>
      <c r="D13" s="5" t="n"/>
      <c r="E13" s="5" t="n"/>
      <c r="F13" s="22" t="n"/>
      <c r="G13" s="5" t="n"/>
      <c r="H13" s="15">
        <f>IF(OR(C13="",F13=""),"",F13-C13)</f>
        <v/>
      </c>
      <c r="I13" s="12">
        <f>IF(G13="","",IF(B13="Consignación",G13-E13,G13-D13-E13))</f>
        <v/>
      </c>
      <c r="J13" s="13">
        <f>IF(OR(G13="",G13=0),"",IF(B13="Consignación",I13/D13,I13/G13))</f>
        <v/>
      </c>
      <c r="K13" s="21" t="n"/>
    </row>
    <row r="14">
      <c r="A14" s="21" t="n"/>
      <c r="B14" s="21" t="n"/>
      <c r="C14" s="22" t="n"/>
      <c r="D14" s="5" t="n"/>
      <c r="E14" s="5" t="n"/>
      <c r="F14" s="22" t="n"/>
      <c r="G14" s="5" t="n"/>
      <c r="H14" s="15">
        <f>IF(OR(C14="",F14=""),"",F14-C14)</f>
        <v/>
      </c>
      <c r="I14" s="12">
        <f>IF(G14="","",IF(B14="Consignación",G14-E14,G14-D14-E14))</f>
        <v/>
      </c>
      <c r="J14" s="13">
        <f>IF(OR(G14="",G14=0),"",IF(B14="Consignación",I14/D14,I14/G14))</f>
        <v/>
      </c>
      <c r="K14" s="21" t="n"/>
    </row>
    <row r="15">
      <c r="A15" s="21" t="n"/>
      <c r="B15" s="21" t="n"/>
      <c r="C15" s="22" t="n"/>
      <c r="D15" s="5" t="n"/>
      <c r="E15" s="5" t="n"/>
      <c r="F15" s="22" t="n"/>
      <c r="G15" s="5" t="n"/>
      <c r="H15" s="15">
        <f>IF(OR(C15="",F15=""),"",F15-C15)</f>
        <v/>
      </c>
      <c r="I15" s="12">
        <f>IF(G15="","",IF(B15="Consignación",G15-E15,G15-D15-E15))</f>
        <v/>
      </c>
      <c r="J15" s="13">
        <f>IF(OR(G15="",G15=0),"",IF(B15="Consignación",I15/D15,I15/G15))</f>
        <v/>
      </c>
      <c r="K15" s="21" t="n"/>
    </row>
    <row r="16">
      <c r="A16" s="21" t="n"/>
      <c r="B16" s="21" t="n"/>
      <c r="C16" s="22" t="n"/>
      <c r="D16" s="5" t="n"/>
      <c r="E16" s="5" t="n"/>
      <c r="F16" s="22" t="n"/>
      <c r="G16" s="5" t="n"/>
      <c r="H16" s="15">
        <f>IF(OR(C16="",F16=""),"",F16-C16)</f>
        <v/>
      </c>
      <c r="I16" s="12">
        <f>IF(G16="","",IF(B16="Consignación",G16-E16,G16-D16-E16))</f>
        <v/>
      </c>
      <c r="J16" s="13">
        <f>IF(OR(G16="",G16=0),"",IF(B16="Consignación",I16/D16,I16/G16))</f>
        <v/>
      </c>
      <c r="K16" s="21" t="n"/>
    </row>
    <row r="17">
      <c r="A17" s="21" t="n"/>
      <c r="B17" s="21" t="n"/>
      <c r="C17" s="22" t="n"/>
      <c r="D17" s="5" t="n"/>
      <c r="E17" s="5" t="n"/>
      <c r="F17" s="22" t="n"/>
      <c r="G17" s="5" t="n"/>
      <c r="H17" s="15">
        <f>IF(OR(C17="",F17=""),"",F17-C17)</f>
        <v/>
      </c>
      <c r="I17" s="12">
        <f>IF(G17="","",IF(B17="Consignación",G17-E17,G17-D17-E17))</f>
        <v/>
      </c>
      <c r="J17" s="13">
        <f>IF(OR(G17="",G17=0),"",IF(B17="Consignación",I17/D17,I17/G17))</f>
        <v/>
      </c>
      <c r="K17" s="21" t="n"/>
    </row>
    <row r="18">
      <c r="A18" s="21" t="n"/>
      <c r="B18" s="21" t="n"/>
      <c r="C18" s="22" t="n"/>
      <c r="D18" s="5" t="n"/>
      <c r="E18" s="5" t="n"/>
      <c r="F18" s="22" t="n"/>
      <c r="G18" s="5" t="n"/>
      <c r="H18" s="15">
        <f>IF(OR(C18="",F18=""),"",F18-C18)</f>
        <v/>
      </c>
      <c r="I18" s="12">
        <f>IF(G18="","",IF(B18="Consignación",G18-E18,G18-D18-E18))</f>
        <v/>
      </c>
      <c r="J18" s="13">
        <f>IF(OR(G18="",G18=0),"",IF(B18="Consignación",I18/D18,I18/G18))</f>
        <v/>
      </c>
      <c r="K18" s="21" t="n"/>
    </row>
    <row r="19">
      <c r="A19" s="21" t="n"/>
      <c r="B19" s="21" t="n"/>
      <c r="C19" s="22" t="n"/>
      <c r="D19" s="5" t="n"/>
      <c r="E19" s="5" t="n"/>
      <c r="F19" s="22" t="n"/>
      <c r="G19" s="5" t="n"/>
      <c r="H19" s="15">
        <f>IF(OR(C19="",F19=""),"",F19-C19)</f>
        <v/>
      </c>
      <c r="I19" s="12">
        <f>IF(G19="","",IF(B19="Consignación",G19-E19,G19-D19-E19))</f>
        <v/>
      </c>
      <c r="J19" s="13">
        <f>IF(OR(G19="",G19=0),"",IF(B19="Consignación",I19/D19,I19/G19))</f>
        <v/>
      </c>
      <c r="K19" s="21" t="n"/>
    </row>
    <row r="20">
      <c r="A20" s="21" t="n"/>
      <c r="B20" s="21" t="n"/>
      <c r="C20" s="22" t="n"/>
      <c r="D20" s="5" t="n"/>
      <c r="E20" s="5" t="n"/>
      <c r="F20" s="22" t="n"/>
      <c r="G20" s="5" t="n"/>
      <c r="H20" s="15">
        <f>IF(OR(C20="",F20=""),"",F20-C20)</f>
        <v/>
      </c>
      <c r="I20" s="12">
        <f>IF(G20="","",IF(B20="Consignación",G20-E20,G20-D20-E20))</f>
        <v/>
      </c>
      <c r="J20" s="13">
        <f>IF(OR(G20="",G20=0),"",IF(B20="Consignación",I20/D20,I20/G20))</f>
        <v/>
      </c>
      <c r="K20" s="21" t="n"/>
    </row>
    <row r="21">
      <c r="A21" s="21" t="n"/>
      <c r="B21" s="21" t="n"/>
      <c r="C21" s="22" t="n"/>
      <c r="D21" s="5" t="n"/>
      <c r="E21" s="5" t="n"/>
      <c r="F21" s="22" t="n"/>
      <c r="G21" s="5" t="n"/>
      <c r="H21" s="15">
        <f>IF(OR(C21="",F21=""),"",F21-C21)</f>
        <v/>
      </c>
      <c r="I21" s="12">
        <f>IF(G21="","",IF(B21="Consignación",G21-E21,G21-D21-E21))</f>
        <v/>
      </c>
      <c r="J21" s="13">
        <f>IF(OR(G21="",G21=0),"",IF(B21="Consignación",I21/D21,I21/G21))</f>
        <v/>
      </c>
      <c r="K21" s="21" t="n"/>
    </row>
    <row r="22">
      <c r="A22" s="21" t="n"/>
      <c r="B22" s="21" t="n"/>
      <c r="C22" s="22" t="n"/>
      <c r="D22" s="5" t="n"/>
      <c r="E22" s="5" t="n"/>
      <c r="F22" s="22" t="n"/>
      <c r="G22" s="5" t="n"/>
      <c r="H22" s="15">
        <f>IF(OR(C22="",F22=""),"",F22-C22)</f>
        <v/>
      </c>
      <c r="I22" s="12">
        <f>IF(G22="","",IF(B22="Consignación",G22-E22,G22-D22-E22))</f>
        <v/>
      </c>
      <c r="J22" s="13">
        <f>IF(OR(G22="",G22=0),"",IF(B22="Consignación",I22/D22,I22/G22))</f>
        <v/>
      </c>
      <c r="K22" s="21" t="n"/>
    </row>
    <row r="23">
      <c r="A23" s="21" t="n"/>
      <c r="B23" s="21" t="n"/>
      <c r="C23" s="22" t="n"/>
      <c r="D23" s="5" t="n"/>
      <c r="E23" s="5" t="n"/>
      <c r="F23" s="22" t="n"/>
      <c r="G23" s="5" t="n"/>
      <c r="H23" s="15">
        <f>IF(OR(C23="",F23=""),"",F23-C23)</f>
        <v/>
      </c>
      <c r="I23" s="12">
        <f>IF(G23="","",IF(B23="Consignación",G23-E23,G23-D23-E23))</f>
        <v/>
      </c>
      <c r="J23" s="13">
        <f>IF(OR(G23="",G23=0),"",IF(B23="Consignación",I23/D23,I23/G23))</f>
        <v/>
      </c>
      <c r="K23" s="21" t="n"/>
    </row>
    <row r="24">
      <c r="A24" s="21" t="n"/>
      <c r="B24" s="21" t="n"/>
      <c r="C24" s="22" t="n"/>
      <c r="D24" s="5" t="n"/>
      <c r="E24" s="5" t="n"/>
      <c r="F24" s="22" t="n"/>
      <c r="G24" s="5" t="n"/>
      <c r="H24" s="15">
        <f>IF(OR(C24="",F24=""),"",F24-C24)</f>
        <v/>
      </c>
      <c r="I24" s="12">
        <f>IF(G24="","",IF(B24="Consignación",G24-E24,G24-D24-E24))</f>
        <v/>
      </c>
      <c r="J24" s="13">
        <f>IF(OR(G24="",G24=0),"",IF(B24="Consignación",I24/D24,I24/G24))</f>
        <v/>
      </c>
      <c r="K24" s="21" t="n"/>
    </row>
    <row r="25">
      <c r="A25" s="21" t="n"/>
      <c r="B25" s="21" t="n"/>
      <c r="C25" s="22" t="n"/>
      <c r="D25" s="5" t="n"/>
      <c r="E25" s="5" t="n"/>
      <c r="F25" s="22" t="n"/>
      <c r="G25" s="5" t="n"/>
      <c r="H25" s="15">
        <f>IF(OR(C25="",F25=""),"",F25-C25)</f>
        <v/>
      </c>
      <c r="I25" s="12">
        <f>IF(G25="","",IF(B25="Consignación",G25-E25,G25-D25-E25))</f>
        <v/>
      </c>
      <c r="J25" s="13">
        <f>IF(OR(G25="",G25=0),"",IF(B25="Consignación",I25/D25,I25/G25))</f>
        <v/>
      </c>
      <c r="K25" s="21" t="n"/>
    </row>
    <row r="26">
      <c r="A26" s="21" t="n"/>
      <c r="B26" s="21" t="n"/>
      <c r="C26" s="22" t="n"/>
      <c r="D26" s="5" t="n"/>
      <c r="E26" s="5" t="n"/>
      <c r="F26" s="22" t="n"/>
      <c r="G26" s="5" t="n"/>
      <c r="H26" s="15">
        <f>IF(OR(C26="",F26=""),"",F26-C26)</f>
        <v/>
      </c>
      <c r="I26" s="12">
        <f>IF(G26="","",IF(B26="Consignación",G26-E26,G26-D26-E26))</f>
        <v/>
      </c>
      <c r="J26" s="13">
        <f>IF(OR(G26="",G26=0),"",IF(B26="Consignación",I26/D26,I26/G26))</f>
        <v/>
      </c>
      <c r="K26" s="21" t="n"/>
    </row>
    <row r="27">
      <c r="A27" s="21" t="n"/>
      <c r="B27" s="21" t="n"/>
      <c r="C27" s="22" t="n"/>
      <c r="D27" s="5" t="n"/>
      <c r="E27" s="5" t="n"/>
      <c r="F27" s="22" t="n"/>
      <c r="G27" s="5" t="n"/>
      <c r="H27" s="15">
        <f>IF(OR(C27="",F27=""),"",F27-C27)</f>
        <v/>
      </c>
      <c r="I27" s="12">
        <f>IF(G27="","",IF(B27="Consignación",G27-E27,G27-D27-E27))</f>
        <v/>
      </c>
      <c r="J27" s="13">
        <f>IF(OR(G27="",G27=0),"",IF(B27="Consignación",I27/D27,I27/G27))</f>
        <v/>
      </c>
      <c r="K27" s="21" t="n"/>
    </row>
    <row r="28">
      <c r="A28" s="21" t="n"/>
      <c r="B28" s="21" t="n"/>
      <c r="C28" s="22" t="n"/>
      <c r="D28" s="5" t="n"/>
      <c r="E28" s="5" t="n"/>
      <c r="F28" s="22" t="n"/>
      <c r="G28" s="5" t="n"/>
      <c r="H28" s="15">
        <f>IF(OR(C28="",F28=""),"",F28-C28)</f>
        <v/>
      </c>
      <c r="I28" s="12">
        <f>IF(G28="","",IF(B28="Consignación",G28-E28,G28-D28-E28))</f>
        <v/>
      </c>
      <c r="J28" s="13">
        <f>IF(OR(G28="",G28=0),"",IF(B28="Consignación",I28/D28,I28/G28))</f>
        <v/>
      </c>
      <c r="K28" s="21" t="n"/>
    </row>
    <row r="29">
      <c r="A29" s="21" t="n"/>
      <c r="B29" s="21" t="n"/>
      <c r="C29" s="22" t="n"/>
      <c r="D29" s="5" t="n"/>
      <c r="E29" s="5" t="n"/>
      <c r="F29" s="22" t="n"/>
      <c r="G29" s="5" t="n"/>
      <c r="H29" s="15">
        <f>IF(OR(C29="",F29=""),"",F29-C29)</f>
        <v/>
      </c>
      <c r="I29" s="12">
        <f>IF(G29="","",IF(B29="Consignación",G29-E29,G29-D29-E29))</f>
        <v/>
      </c>
      <c r="J29" s="13">
        <f>IF(OR(G29="",G29=0),"",IF(B29="Consignación",I29/D29,I29/G29))</f>
        <v/>
      </c>
      <c r="K29" s="21" t="n"/>
    </row>
    <row r="30">
      <c r="A30" s="21" t="n"/>
      <c r="B30" s="21" t="n"/>
      <c r="C30" s="22" t="n"/>
      <c r="D30" s="5" t="n"/>
      <c r="E30" s="5" t="n"/>
      <c r="F30" s="22" t="n"/>
      <c r="G30" s="5" t="n"/>
      <c r="H30" s="15">
        <f>IF(OR(C30="",F30=""),"",F30-C30)</f>
        <v/>
      </c>
      <c r="I30" s="12">
        <f>IF(G30="","",IF(B30="Consignación",G30-E30,G30-D30-E30))</f>
        <v/>
      </c>
      <c r="J30" s="13">
        <f>IF(OR(G30="",G30=0),"",IF(B30="Consignación",I30/D30,I30/G30))</f>
        <v/>
      </c>
      <c r="K30" s="21" t="n"/>
    </row>
    <row r="31">
      <c r="A31" s="21" t="n"/>
      <c r="B31" s="21" t="n"/>
      <c r="C31" s="22" t="n"/>
      <c r="D31" s="5" t="n"/>
      <c r="E31" s="5" t="n"/>
      <c r="F31" s="22" t="n"/>
      <c r="G31" s="5" t="n"/>
      <c r="H31" s="15">
        <f>IF(OR(C31="",F31=""),"",F31-C31)</f>
        <v/>
      </c>
      <c r="I31" s="12">
        <f>IF(G31="","",IF(B31="Consignación",G31-E31,G31-D31-E31))</f>
        <v/>
      </c>
      <c r="J31" s="13">
        <f>IF(OR(G31="",G31=0),"",IF(B31="Consignación",I31/D31,I31/G31))</f>
        <v/>
      </c>
      <c r="K31" s="21" t="n"/>
    </row>
    <row r="32">
      <c r="A32" s="21" t="n"/>
      <c r="B32" s="21" t="n"/>
      <c r="C32" s="22" t="n"/>
      <c r="D32" s="5" t="n"/>
      <c r="E32" s="5" t="n"/>
      <c r="F32" s="22" t="n"/>
      <c r="G32" s="5" t="n"/>
      <c r="H32" s="15">
        <f>IF(OR(C32="",F32=""),"",F32-C32)</f>
        <v/>
      </c>
      <c r="I32" s="12">
        <f>IF(G32="","",IF(B32="Consignación",G32-E32,G32-D32-E32))</f>
        <v/>
      </c>
      <c r="J32" s="13">
        <f>IF(OR(G32="",G32=0),"",IF(B32="Consignación",I32/D32,I32/G32))</f>
        <v/>
      </c>
      <c r="K32" s="21" t="n"/>
    </row>
    <row r="33">
      <c r="A33" s="21" t="n"/>
      <c r="B33" s="21" t="n"/>
      <c r="C33" s="22" t="n"/>
      <c r="D33" s="5" t="n"/>
      <c r="E33" s="5" t="n"/>
      <c r="F33" s="22" t="n"/>
      <c r="G33" s="5" t="n"/>
      <c r="H33" s="15">
        <f>IF(OR(C33="",F33=""),"",F33-C33)</f>
        <v/>
      </c>
      <c r="I33" s="12">
        <f>IF(G33="","",IF(B33="Consignación",G33-E33,G33-D33-E33))</f>
        <v/>
      </c>
      <c r="J33" s="13">
        <f>IF(OR(G33="",G33=0),"",IF(B33="Consignación",I33/D33,I33/G33))</f>
        <v/>
      </c>
      <c r="K33" s="21" t="n"/>
    </row>
    <row r="34">
      <c r="A34" s="21" t="n"/>
      <c r="B34" s="21" t="n"/>
      <c r="C34" s="22" t="n"/>
      <c r="D34" s="5" t="n"/>
      <c r="E34" s="5" t="n"/>
      <c r="F34" s="22" t="n"/>
      <c r="G34" s="5" t="n"/>
      <c r="H34" s="15">
        <f>IF(OR(C34="",F34=""),"",F34-C34)</f>
        <v/>
      </c>
      <c r="I34" s="12">
        <f>IF(G34="","",IF(B34="Consignación",G34-E34,G34-D34-E34))</f>
        <v/>
      </c>
      <c r="J34" s="13">
        <f>IF(OR(G34="",G34=0),"",IF(B34="Consignación",I34/D34,I34/G34))</f>
        <v/>
      </c>
      <c r="K34" s="21" t="n"/>
    </row>
    <row r="35">
      <c r="A35" s="21" t="n"/>
      <c r="B35" s="21" t="n"/>
      <c r="C35" s="22" t="n"/>
      <c r="D35" s="5" t="n"/>
      <c r="E35" s="5" t="n"/>
      <c r="F35" s="22" t="n"/>
      <c r="G35" s="5" t="n"/>
      <c r="H35" s="15">
        <f>IF(OR(C35="",F35=""),"",F35-C35)</f>
        <v/>
      </c>
      <c r="I35" s="12">
        <f>IF(G35="","",IF(B35="Consignación",G35-E35,G35-D35-E35))</f>
        <v/>
      </c>
      <c r="J35" s="13">
        <f>IF(OR(G35="",G35=0),"",IF(B35="Consignación",I35/D35,I35/G35))</f>
        <v/>
      </c>
      <c r="K35" s="21" t="n"/>
    </row>
    <row r="36">
      <c r="A36" s="21" t="n"/>
      <c r="B36" s="21" t="n"/>
      <c r="C36" s="22" t="n"/>
      <c r="D36" s="5" t="n"/>
      <c r="E36" s="5" t="n"/>
      <c r="F36" s="22" t="n"/>
      <c r="G36" s="5" t="n"/>
      <c r="H36" s="15">
        <f>IF(OR(C36="",F36=""),"",F36-C36)</f>
        <v/>
      </c>
      <c r="I36" s="12">
        <f>IF(G36="","",IF(B36="Consignación",G36-E36,G36-D36-E36))</f>
        <v/>
      </c>
      <c r="J36" s="13">
        <f>IF(OR(G36="",G36=0),"",IF(B36="Consignación",I36/D36,I36/G36))</f>
        <v/>
      </c>
      <c r="K36" s="21" t="n"/>
    </row>
    <row r="37">
      <c r="A37" s="21" t="n"/>
      <c r="B37" s="21" t="n"/>
      <c r="C37" s="22" t="n"/>
      <c r="D37" s="5" t="n"/>
      <c r="E37" s="5" t="n"/>
      <c r="F37" s="22" t="n"/>
      <c r="G37" s="5" t="n"/>
      <c r="H37" s="15">
        <f>IF(OR(C37="",F37=""),"",F37-C37)</f>
        <v/>
      </c>
      <c r="I37" s="12">
        <f>IF(G37="","",IF(B37="Consignación",G37-E37,G37-D37-E37))</f>
        <v/>
      </c>
      <c r="J37" s="13">
        <f>IF(OR(G37="",G37=0),"",IF(B37="Consignación",I37/D37,I37/G37))</f>
        <v/>
      </c>
      <c r="K37" s="21" t="n"/>
    </row>
    <row r="38">
      <c r="A38" s="21" t="n"/>
      <c r="B38" s="21" t="n"/>
      <c r="C38" s="22" t="n"/>
      <c r="D38" s="5" t="n"/>
      <c r="E38" s="5" t="n"/>
      <c r="F38" s="22" t="n"/>
      <c r="G38" s="5" t="n"/>
      <c r="H38" s="15">
        <f>IF(OR(C38="",F38=""),"",F38-C38)</f>
        <v/>
      </c>
      <c r="I38" s="12">
        <f>IF(G38="","",IF(B38="Consignación",G38-E38,G38-D38-E38))</f>
        <v/>
      </c>
      <c r="J38" s="13">
        <f>IF(OR(G38="",G38=0),"",IF(B38="Consignación",I38/D38,I38/G38))</f>
        <v/>
      </c>
      <c r="K38" s="21" t="n"/>
    </row>
    <row r="39">
      <c r="A39" s="21" t="n"/>
      <c r="B39" s="21" t="n"/>
      <c r="C39" s="22" t="n"/>
      <c r="D39" s="5" t="n"/>
      <c r="E39" s="5" t="n"/>
      <c r="F39" s="22" t="n"/>
      <c r="G39" s="5" t="n"/>
      <c r="H39" s="15">
        <f>IF(OR(C39="",F39=""),"",F39-C39)</f>
        <v/>
      </c>
      <c r="I39" s="12">
        <f>IF(G39="","",IF(B39="Consignación",G39-E39,G39-D39-E39))</f>
        <v/>
      </c>
      <c r="J39" s="13">
        <f>IF(OR(G39="",G39=0),"",IF(B39="Consignación",I39/D39,I39/G39))</f>
        <v/>
      </c>
      <c r="K39" s="21" t="n"/>
    </row>
    <row r="40">
      <c r="A40" s="21" t="n"/>
      <c r="B40" s="21" t="n"/>
      <c r="C40" s="22" t="n"/>
      <c r="D40" s="5" t="n"/>
      <c r="E40" s="5" t="n"/>
      <c r="F40" s="22" t="n"/>
      <c r="G40" s="5" t="n"/>
      <c r="H40" s="15">
        <f>IF(OR(C40="",F40=""),"",F40-C40)</f>
        <v/>
      </c>
      <c r="I40" s="12">
        <f>IF(G40="","",IF(B40="Consignación",G40-E40,G40-D40-E40))</f>
        <v/>
      </c>
      <c r="J40" s="13">
        <f>IF(OR(G40="",G40=0),"",IF(B40="Consignación",I40/D40,I40/G40))</f>
        <v/>
      </c>
      <c r="K40" s="21" t="n"/>
    </row>
    <row r="41">
      <c r="A41" s="21" t="n"/>
      <c r="B41" s="21" t="n"/>
      <c r="C41" s="22" t="n"/>
      <c r="D41" s="5" t="n"/>
      <c r="E41" s="5" t="n"/>
      <c r="F41" s="22" t="n"/>
      <c r="G41" s="5" t="n"/>
      <c r="H41" s="15">
        <f>IF(OR(C41="",F41=""),"",F41-C41)</f>
        <v/>
      </c>
      <c r="I41" s="12">
        <f>IF(G41="","",IF(B41="Consignación",G41-E41,G41-D41-E41))</f>
        <v/>
      </c>
      <c r="J41" s="13">
        <f>IF(OR(G41="",G41=0),"",IF(B41="Consignación",I41/D41,I41/G41))</f>
        <v/>
      </c>
      <c r="K41" s="21" t="n"/>
    </row>
    <row r="42">
      <c r="A42" s="21" t="n"/>
      <c r="B42" s="21" t="n"/>
      <c r="C42" s="22" t="n"/>
      <c r="D42" s="5" t="n"/>
      <c r="E42" s="5" t="n"/>
      <c r="F42" s="22" t="n"/>
      <c r="G42" s="5" t="n"/>
      <c r="H42" s="15">
        <f>IF(OR(C42="",F42=""),"",F42-C42)</f>
        <v/>
      </c>
      <c r="I42" s="12">
        <f>IF(G42="","",IF(B42="Consignación",G42-E42,G42-D42-E42))</f>
        <v/>
      </c>
      <c r="J42" s="13">
        <f>IF(OR(G42="",G42=0),"",IF(B42="Consignación",I42/D42,I42/G42))</f>
        <v/>
      </c>
      <c r="K42" s="21" t="n"/>
    </row>
    <row r="43">
      <c r="A43" s="21" t="n"/>
      <c r="B43" s="21" t="n"/>
      <c r="C43" s="22" t="n"/>
      <c r="D43" s="5" t="n"/>
      <c r="E43" s="5" t="n"/>
      <c r="F43" s="22" t="n"/>
      <c r="G43" s="5" t="n"/>
      <c r="H43" s="15">
        <f>IF(OR(C43="",F43=""),"",F43-C43)</f>
        <v/>
      </c>
      <c r="I43" s="12">
        <f>IF(G43="","",IF(B43="Consignación",G43-E43,G43-D43-E43))</f>
        <v/>
      </c>
      <c r="J43" s="13">
        <f>IF(OR(G43="",G43=0),"",IF(B43="Consignación",I43/D43,I43/G43))</f>
        <v/>
      </c>
      <c r="K43" s="21" t="n"/>
    </row>
    <row r="44">
      <c r="A44" s="21" t="n"/>
      <c r="B44" s="21" t="n"/>
      <c r="C44" s="22" t="n"/>
      <c r="D44" s="5" t="n"/>
      <c r="E44" s="5" t="n"/>
      <c r="F44" s="22" t="n"/>
      <c r="G44" s="5" t="n"/>
      <c r="H44" s="15">
        <f>IF(OR(C44="",F44=""),"",F44-C44)</f>
        <v/>
      </c>
      <c r="I44" s="12">
        <f>IF(G44="","",IF(B44="Consignación",G44-E44,G44-D44-E44))</f>
        <v/>
      </c>
      <c r="J44" s="13">
        <f>IF(OR(G44="",G44=0),"",IF(B44="Consignación",I44/D44,I44/G44))</f>
        <v/>
      </c>
      <c r="K44" s="21" t="n"/>
    </row>
    <row r="45">
      <c r="A45" s="21" t="n"/>
      <c r="B45" s="21" t="n"/>
      <c r="C45" s="22" t="n"/>
      <c r="D45" s="5" t="n"/>
      <c r="E45" s="5" t="n"/>
      <c r="F45" s="22" t="n"/>
      <c r="G45" s="5" t="n"/>
      <c r="H45" s="15">
        <f>IF(OR(C45="",F45=""),"",F45-C45)</f>
        <v/>
      </c>
      <c r="I45" s="12">
        <f>IF(G45="","",IF(B45="Consignación",G45-E45,G45-D45-E45))</f>
        <v/>
      </c>
      <c r="J45" s="13">
        <f>IF(OR(G45="",G45=0),"",IF(B45="Consignación",I45/D45,I45/G45))</f>
        <v/>
      </c>
      <c r="K45" s="21" t="n"/>
    </row>
    <row r="46">
      <c r="A46" s="21" t="n"/>
      <c r="B46" s="21" t="n"/>
      <c r="C46" s="22" t="n"/>
      <c r="D46" s="5" t="n"/>
      <c r="E46" s="5" t="n"/>
      <c r="F46" s="22" t="n"/>
      <c r="G46" s="5" t="n"/>
      <c r="H46" s="15">
        <f>IF(OR(C46="",F46=""),"",F46-C46)</f>
        <v/>
      </c>
      <c r="I46" s="12">
        <f>IF(G46="","",IF(B46="Consignación",G46-E46,G46-D46-E46))</f>
        <v/>
      </c>
      <c r="J46" s="13">
        <f>IF(OR(G46="",G46=0),"",IF(B46="Consignación",I46/D46,I46/G46))</f>
        <v/>
      </c>
      <c r="K46" s="21" t="n"/>
    </row>
    <row r="47">
      <c r="A47" s="21" t="n"/>
      <c r="B47" s="21" t="n"/>
      <c r="C47" s="22" t="n"/>
      <c r="D47" s="5" t="n"/>
      <c r="E47" s="5" t="n"/>
      <c r="F47" s="22" t="n"/>
      <c r="G47" s="5" t="n"/>
      <c r="H47" s="15">
        <f>IF(OR(C47="",F47=""),"",F47-C47)</f>
        <v/>
      </c>
      <c r="I47" s="12">
        <f>IF(G47="","",IF(B47="Consignación",G47-E47,G47-D47-E47))</f>
        <v/>
      </c>
      <c r="J47" s="13">
        <f>IF(OR(G47="",G47=0),"",IF(B47="Consignación",I47/D47,I47/G47))</f>
        <v/>
      </c>
      <c r="K47" s="21" t="n"/>
    </row>
    <row r="48">
      <c r="A48" s="21" t="n"/>
      <c r="B48" s="21" t="n"/>
      <c r="C48" s="22" t="n"/>
      <c r="D48" s="5" t="n"/>
      <c r="E48" s="5" t="n"/>
      <c r="F48" s="22" t="n"/>
      <c r="G48" s="5" t="n"/>
      <c r="H48" s="15">
        <f>IF(OR(C48="",F48=""),"",F48-C48)</f>
        <v/>
      </c>
      <c r="I48" s="12">
        <f>IF(G48="","",IF(B48="Consignación",G48-E48,G48-D48-E48))</f>
        <v/>
      </c>
      <c r="J48" s="13">
        <f>IF(OR(G48="",G48=0),"",IF(B48="Consignación",I48/D48,I48/G48))</f>
        <v/>
      </c>
      <c r="K48" s="21" t="n"/>
    </row>
    <row r="49">
      <c r="A49" s="21" t="n"/>
      <c r="B49" s="21" t="n"/>
      <c r="C49" s="22" t="n"/>
      <c r="D49" s="5" t="n"/>
      <c r="E49" s="5" t="n"/>
      <c r="F49" s="22" t="n"/>
      <c r="G49" s="5" t="n"/>
      <c r="H49" s="15">
        <f>IF(OR(C49="",F49=""),"",F49-C49)</f>
        <v/>
      </c>
      <c r="I49" s="12">
        <f>IF(G49="","",IF(B49="Consignación",G49-E49,G49-D49-E49))</f>
        <v/>
      </c>
      <c r="J49" s="13">
        <f>IF(OR(G49="",G49=0),"",IF(B49="Consignación",I49/D49,I49/G49))</f>
        <v/>
      </c>
      <c r="K49" s="21" t="n"/>
    </row>
    <row r="50">
      <c r="A50" s="21" t="n"/>
      <c r="B50" s="21" t="n"/>
      <c r="C50" s="22" t="n"/>
      <c r="D50" s="5" t="n"/>
      <c r="E50" s="5" t="n"/>
      <c r="F50" s="22" t="n"/>
      <c r="G50" s="5" t="n"/>
      <c r="H50" s="15">
        <f>IF(OR(C50="",F50=""),"",F50-C50)</f>
        <v/>
      </c>
      <c r="I50" s="12">
        <f>IF(G50="","",IF(B50="Consignación",G50-E50,G50-D50-E50))</f>
        <v/>
      </c>
      <c r="J50" s="13">
        <f>IF(OR(G50="",G50=0),"",IF(B50="Consignación",I50/D50,I50/G50))</f>
        <v/>
      </c>
      <c r="K50" s="21" t="n"/>
    </row>
    <row r="51">
      <c r="A51" s="21" t="n"/>
      <c r="B51" s="21" t="n"/>
      <c r="C51" s="22" t="n"/>
      <c r="D51" s="5" t="n"/>
      <c r="E51" s="5" t="n"/>
      <c r="F51" s="22" t="n"/>
      <c r="G51" s="5" t="n"/>
      <c r="H51" s="15">
        <f>IF(OR(C51="",F51=""),"",F51-C51)</f>
        <v/>
      </c>
      <c r="I51" s="12">
        <f>IF(G51="","",IF(B51="Consignación",G51-E51,G51-D51-E51))</f>
        <v/>
      </c>
      <c r="J51" s="13">
        <f>IF(OR(G51="",G51=0),"",IF(B51="Consignación",I51/D51,I51/G51))</f>
        <v/>
      </c>
      <c r="K51" s="21" t="n"/>
    </row>
    <row r="52">
      <c r="A52" s="21" t="n"/>
      <c r="B52" s="21" t="n"/>
      <c r="C52" s="22" t="n"/>
      <c r="D52" s="5" t="n"/>
      <c r="E52" s="5" t="n"/>
      <c r="F52" s="22" t="n"/>
      <c r="G52" s="5" t="n"/>
      <c r="H52" s="15">
        <f>IF(OR(C52="",F52=""),"",F52-C52)</f>
        <v/>
      </c>
      <c r="I52" s="12">
        <f>IF(G52="","",IF(B52="Consignación",G52-E52,G52-D52-E52))</f>
        <v/>
      </c>
      <c r="J52" s="13">
        <f>IF(OR(G52="",G52=0),"",IF(B52="Consignación",I52/D52,I52/G52))</f>
        <v/>
      </c>
      <c r="K52" s="21" t="n"/>
    </row>
    <row r="53">
      <c r="A53" s="21" t="n"/>
      <c r="B53" s="21" t="n"/>
      <c r="C53" s="22" t="n"/>
      <c r="D53" s="5" t="n"/>
      <c r="E53" s="5" t="n"/>
      <c r="F53" s="22" t="n"/>
      <c r="G53" s="5" t="n"/>
      <c r="H53" s="15">
        <f>IF(OR(C53="",F53=""),"",F53-C53)</f>
        <v/>
      </c>
      <c r="I53" s="12">
        <f>IF(G53="","",IF(B53="Consignación",G53-E53,G53-D53-E53))</f>
        <v/>
      </c>
      <c r="J53" s="13">
        <f>IF(OR(G53="",G53=0),"",IF(B53="Consignación",I53/D53,I53/G53))</f>
        <v/>
      </c>
      <c r="K53" s="21" t="n"/>
    </row>
  </sheetData>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1" type="list">
      <formula1>"Compra propia,Consignación"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2026-10-02T23:52:58Z</dcterms:created>
  <dcterms:modified xsi:type="dcterms:W3CDTF">2026-10-02T23:52:58Z</dcterms:modified>
</cp:coreProperties>
</file>